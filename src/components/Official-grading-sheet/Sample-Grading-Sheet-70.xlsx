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cuments\NCF\"/>
    </mc:Choice>
  </mc:AlternateContent>
  <xr:revisionPtr revIDLastSave="0" documentId="13_ncr:1_{5ABC9A45-14E8-4C9B-B2EA-6F4BF58063B1}" xr6:coauthVersionLast="47" xr6:coauthVersionMax="47" xr10:uidLastSave="{00000000-0000-0000-0000-000000000000}"/>
  <bookViews>
    <workbookView xWindow="-108" yWindow="-108" windowWidth="23256" windowHeight="12456" tabRatio="875" activeTab="2" xr2:uid="{0EEC0B45-406C-407C-9757-FA8CB0654230}"/>
  </bookViews>
  <sheets>
    <sheet name="Notes" sheetId="28" r:id="rId1"/>
    <sheet name="Transmutation Table" sheetId="2" r:id="rId2"/>
    <sheet name="with project" sheetId="27" r:id="rId3"/>
    <sheet name="without project" sheetId="41" r:id="rId4"/>
  </sheets>
  <definedNames>
    <definedName name="_xlnm.Print_Area" localSheetId="2">'with project'!$A$1:$BT$62</definedName>
    <definedName name="_xlnm.Print_Area" localSheetId="3">'without project'!$A$1:$BT$62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27" l="1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14" i="27"/>
  <c r="AE15" i="27"/>
  <c r="AE16" i="27"/>
  <c r="AE17" i="27"/>
  <c r="AE18" i="27"/>
  <c r="AE19" i="27"/>
  <c r="AE20" i="27"/>
  <c r="AE21" i="27"/>
  <c r="AE22" i="27"/>
  <c r="AE23" i="27"/>
  <c r="AE24" i="27"/>
  <c r="AE25" i="27"/>
  <c r="AE26" i="27"/>
  <c r="AE27" i="27"/>
  <c r="AE28" i="27"/>
  <c r="AE29" i="27"/>
  <c r="AE30" i="27"/>
  <c r="AE31" i="27"/>
  <c r="AE32" i="27"/>
  <c r="AE33" i="27"/>
  <c r="AE34" i="27"/>
  <c r="AE35" i="27"/>
  <c r="AE36" i="27"/>
  <c r="AE37" i="27"/>
  <c r="AE38" i="27"/>
  <c r="AE39" i="27"/>
  <c r="AE40" i="27"/>
  <c r="AE41" i="27"/>
  <c r="AE42" i="27"/>
  <c r="AE43" i="27"/>
  <c r="AE44" i="27"/>
  <c r="AE45" i="27"/>
  <c r="AE46" i="27"/>
  <c r="AE47" i="27"/>
  <c r="AE48" i="27"/>
  <c r="AE49" i="27"/>
  <c r="AE50" i="27"/>
  <c r="AE51" i="27"/>
  <c r="AE52" i="27"/>
  <c r="AE53" i="27"/>
  <c r="AE14" i="27"/>
  <c r="W13" i="27"/>
  <c r="AJ13" i="27"/>
  <c r="AJ13" i="41"/>
  <c r="AF15" i="41"/>
  <c r="AF16" i="41"/>
  <c r="AF17" i="41"/>
  <c r="AF18" i="41"/>
  <c r="AF19" i="41"/>
  <c r="AF20" i="41"/>
  <c r="AF21" i="41"/>
  <c r="AF22" i="41"/>
  <c r="AF23" i="41"/>
  <c r="AF24" i="41"/>
  <c r="AF25" i="41"/>
  <c r="AF26" i="41"/>
  <c r="AF27" i="41"/>
  <c r="AF28" i="41"/>
  <c r="AF29" i="41"/>
  <c r="AF30" i="41"/>
  <c r="AF31" i="41"/>
  <c r="AF32" i="41"/>
  <c r="AF33" i="41"/>
  <c r="AF34" i="41"/>
  <c r="AF35" i="41"/>
  <c r="AF36" i="41"/>
  <c r="AF37" i="41"/>
  <c r="AF38" i="41"/>
  <c r="AF39" i="41"/>
  <c r="AF40" i="41"/>
  <c r="AF41" i="41"/>
  <c r="AF42" i="41"/>
  <c r="AF43" i="41"/>
  <c r="AF44" i="41"/>
  <c r="AF45" i="41"/>
  <c r="AF46" i="41"/>
  <c r="AF47" i="41"/>
  <c r="AF48" i="41"/>
  <c r="AF49" i="41"/>
  <c r="AF50" i="41"/>
  <c r="AF51" i="41"/>
  <c r="AF52" i="41"/>
  <c r="AF53" i="41"/>
  <c r="AF14" i="41"/>
  <c r="AE15" i="41"/>
  <c r="AE16" i="41"/>
  <c r="AE17" i="41"/>
  <c r="AE18" i="41"/>
  <c r="AE19" i="41"/>
  <c r="AE20" i="41"/>
  <c r="AE21" i="41"/>
  <c r="AE22" i="41"/>
  <c r="AE23" i="41"/>
  <c r="AE24" i="41"/>
  <c r="AE25" i="41"/>
  <c r="AE26" i="41"/>
  <c r="AE27" i="41"/>
  <c r="AE28" i="41"/>
  <c r="AE29" i="41"/>
  <c r="AE30" i="41"/>
  <c r="AE31" i="41"/>
  <c r="AE32" i="41"/>
  <c r="AE33" i="41"/>
  <c r="AE34" i="41"/>
  <c r="AE35" i="41"/>
  <c r="AE36" i="41"/>
  <c r="AE37" i="41"/>
  <c r="AE38" i="41"/>
  <c r="AE39" i="41"/>
  <c r="AE40" i="41"/>
  <c r="AE41" i="41"/>
  <c r="AE42" i="41"/>
  <c r="AE43" i="41"/>
  <c r="AE44" i="41"/>
  <c r="AE45" i="41"/>
  <c r="AE46" i="41"/>
  <c r="AE47" i="41"/>
  <c r="AE48" i="41"/>
  <c r="AE49" i="41"/>
  <c r="AE50" i="41"/>
  <c r="AE51" i="41"/>
  <c r="AE52" i="41"/>
  <c r="AE53" i="41"/>
  <c r="AE14" i="41"/>
  <c r="W13" i="41"/>
  <c r="AC14" i="41"/>
  <c r="AD14" i="41" s="1"/>
  <c r="AC15" i="41"/>
  <c r="AD15" i="41" s="1"/>
  <c r="AC16" i="41"/>
  <c r="AD16" i="41" s="1"/>
  <c r="AC17" i="41"/>
  <c r="AD17" i="41"/>
  <c r="AC18" i="41"/>
  <c r="AD18" i="41" s="1"/>
  <c r="AC19" i="41"/>
  <c r="AD19" i="41" s="1"/>
  <c r="AC20" i="41"/>
  <c r="AD20" i="41"/>
  <c r="AC21" i="41"/>
  <c r="AD21" i="41" s="1"/>
  <c r="AC22" i="41"/>
  <c r="AD22" i="41" s="1"/>
  <c r="AC23" i="41"/>
  <c r="AD23" i="41"/>
  <c r="AC24" i="41"/>
  <c r="AD24" i="41" s="1"/>
  <c r="AC25" i="41"/>
  <c r="AD25" i="41" s="1"/>
  <c r="AC26" i="41"/>
  <c r="AD26" i="41"/>
  <c r="AC27" i="41"/>
  <c r="AD27" i="41" s="1"/>
  <c r="AC28" i="41"/>
  <c r="AD28" i="41" s="1"/>
  <c r="AC29" i="41"/>
  <c r="AD29" i="41"/>
  <c r="AC30" i="41"/>
  <c r="AD30" i="41" s="1"/>
  <c r="AC31" i="41"/>
  <c r="AD31" i="41" s="1"/>
  <c r="AC32" i="41"/>
  <c r="AD32" i="41"/>
  <c r="AC33" i="41"/>
  <c r="AD33" i="41" s="1"/>
  <c r="AC34" i="41"/>
  <c r="AD34" i="41" s="1"/>
  <c r="AC35" i="41"/>
  <c r="AD35" i="41"/>
  <c r="AC36" i="41"/>
  <c r="AD36" i="41" s="1"/>
  <c r="AC37" i="41"/>
  <c r="AD37" i="41" s="1"/>
  <c r="AC38" i="41"/>
  <c r="AD38" i="41"/>
  <c r="AC39" i="41"/>
  <c r="AD39" i="41" s="1"/>
  <c r="AC40" i="41"/>
  <c r="AD40" i="41" s="1"/>
  <c r="AC41" i="41"/>
  <c r="AD41" i="41"/>
  <c r="AC42" i="41"/>
  <c r="AD42" i="41" s="1"/>
  <c r="AC43" i="41"/>
  <c r="AD43" i="41" s="1"/>
  <c r="AC44" i="41"/>
  <c r="AD44" i="41"/>
  <c r="AC45" i="41"/>
  <c r="AD45" i="41" s="1"/>
  <c r="AC46" i="41"/>
  <c r="AD46" i="41"/>
  <c r="AC47" i="41"/>
  <c r="AD47" i="41"/>
  <c r="AC48" i="41"/>
  <c r="AD48" i="41" s="1"/>
  <c r="AC49" i="41"/>
  <c r="AD49" i="41" s="1"/>
  <c r="AC50" i="41"/>
  <c r="AD50" i="41"/>
  <c r="AC51" i="41"/>
  <c r="AD51" i="41" s="1"/>
  <c r="AC52" i="41"/>
  <c r="AD52" i="41"/>
  <c r="AC53" i="41"/>
  <c r="AD53" i="41"/>
  <c r="BK53" i="41"/>
  <c r="BL53" i="41" s="1"/>
  <c r="BG53" i="41"/>
  <c r="BH53" i="41" s="1"/>
  <c r="BC53" i="41"/>
  <c r="BD53" i="41" s="1"/>
  <c r="AY53" i="41"/>
  <c r="BO53" i="41" s="1"/>
  <c r="AP53" i="41"/>
  <c r="AQ53" i="41" s="1"/>
  <c r="AL53" i="41"/>
  <c r="AM53" i="41" s="1"/>
  <c r="AH53" i="41"/>
  <c r="AI53" i="41" s="1"/>
  <c r="Y53" i="41"/>
  <c r="Z53" i="41" s="1"/>
  <c r="U53" i="41"/>
  <c r="V53" i="41" s="1"/>
  <c r="P53" i="41"/>
  <c r="O53" i="41"/>
  <c r="F53" i="41"/>
  <c r="G53" i="41" s="1"/>
  <c r="E53" i="41"/>
  <c r="BK52" i="41"/>
  <c r="BL52" i="41" s="1"/>
  <c r="BG52" i="41"/>
  <c r="BH52" i="41" s="1"/>
  <c r="BC52" i="41"/>
  <c r="BD52" i="41" s="1"/>
  <c r="AY52" i="41"/>
  <c r="BO52" i="41" s="1"/>
  <c r="AP52" i="41"/>
  <c r="AQ52" i="41" s="1"/>
  <c r="AL52" i="41"/>
  <c r="AM52" i="41" s="1"/>
  <c r="AH52" i="41"/>
  <c r="AI52" i="41" s="1"/>
  <c r="Y52" i="41"/>
  <c r="Z52" i="41" s="1"/>
  <c r="U52" i="41"/>
  <c r="V52" i="41" s="1"/>
  <c r="P52" i="41"/>
  <c r="Q52" i="41" s="1"/>
  <c r="R52" i="41" s="1"/>
  <c r="S52" i="41" s="1"/>
  <c r="O52" i="41"/>
  <c r="F52" i="41"/>
  <c r="G52" i="41" s="1"/>
  <c r="E52" i="41"/>
  <c r="BK51" i="41"/>
  <c r="BL51" i="41" s="1"/>
  <c r="BG51" i="41"/>
  <c r="BH51" i="41" s="1"/>
  <c r="BC51" i="41"/>
  <c r="BD51" i="41" s="1"/>
  <c r="AY51" i="41"/>
  <c r="AP51" i="41"/>
  <c r="AQ51" i="41" s="1"/>
  <c r="AL51" i="41"/>
  <c r="AM51" i="41" s="1"/>
  <c r="AH51" i="41"/>
  <c r="AI51" i="41" s="1"/>
  <c r="Y51" i="41"/>
  <c r="Z51" i="41" s="1"/>
  <c r="U51" i="41"/>
  <c r="V51" i="41" s="1"/>
  <c r="P51" i="41"/>
  <c r="O51" i="41"/>
  <c r="F51" i="41"/>
  <c r="G51" i="41" s="1"/>
  <c r="E51" i="41"/>
  <c r="BK50" i="41"/>
  <c r="BL50" i="41" s="1"/>
  <c r="BG50" i="41"/>
  <c r="BH50" i="41" s="1"/>
  <c r="BC50" i="41"/>
  <c r="BD50" i="41" s="1"/>
  <c r="AY50" i="41"/>
  <c r="BO50" i="41" s="1"/>
  <c r="AP50" i="41"/>
  <c r="AQ50" i="41" s="1"/>
  <c r="AL50" i="41"/>
  <c r="AM50" i="41" s="1"/>
  <c r="AH50" i="41"/>
  <c r="AI50" i="41" s="1"/>
  <c r="Y50" i="41"/>
  <c r="Z50" i="41" s="1"/>
  <c r="U50" i="41"/>
  <c r="V50" i="41" s="1"/>
  <c r="P50" i="41"/>
  <c r="O50" i="41"/>
  <c r="F50" i="41"/>
  <c r="G50" i="41" s="1"/>
  <c r="E50" i="41"/>
  <c r="BK49" i="41"/>
  <c r="BL49" i="41" s="1"/>
  <c r="BG49" i="41"/>
  <c r="BH49" i="41" s="1"/>
  <c r="BC49" i="41"/>
  <c r="BD49" i="41" s="1"/>
  <c r="AY49" i="41"/>
  <c r="BO49" i="41" s="1"/>
  <c r="AP49" i="41"/>
  <c r="AQ49" i="41" s="1"/>
  <c r="AL49" i="41"/>
  <c r="AM49" i="41" s="1"/>
  <c r="AH49" i="41"/>
  <c r="AI49" i="41" s="1"/>
  <c r="Y49" i="41"/>
  <c r="Z49" i="41" s="1"/>
  <c r="U49" i="41"/>
  <c r="V49" i="41" s="1"/>
  <c r="P49" i="41"/>
  <c r="O49" i="41"/>
  <c r="Q49" i="41" s="1"/>
  <c r="R49" i="41" s="1"/>
  <c r="S49" i="41" s="1"/>
  <c r="F49" i="41"/>
  <c r="G49" i="41" s="1"/>
  <c r="E49" i="41"/>
  <c r="BK48" i="41"/>
  <c r="BL48" i="41" s="1"/>
  <c r="BG48" i="41"/>
  <c r="BH48" i="41" s="1"/>
  <c r="BC48" i="41"/>
  <c r="BD48" i="41" s="1"/>
  <c r="AY48" i="41"/>
  <c r="AP48" i="41"/>
  <c r="AQ48" i="41" s="1"/>
  <c r="AL48" i="41"/>
  <c r="AM48" i="41" s="1"/>
  <c r="AH48" i="41"/>
  <c r="AI48" i="41" s="1"/>
  <c r="Y48" i="41"/>
  <c r="Z48" i="41" s="1"/>
  <c r="U48" i="41"/>
  <c r="V48" i="41" s="1"/>
  <c r="P48" i="41"/>
  <c r="O48" i="41"/>
  <c r="F48" i="41"/>
  <c r="G48" i="41" s="1"/>
  <c r="E48" i="41"/>
  <c r="BO47" i="41"/>
  <c r="BK47" i="41"/>
  <c r="BL47" i="41" s="1"/>
  <c r="BG47" i="41"/>
  <c r="BH47" i="41" s="1"/>
  <c r="BC47" i="41"/>
  <c r="BD47" i="41" s="1"/>
  <c r="AY47" i="41"/>
  <c r="AP47" i="41"/>
  <c r="AQ47" i="41" s="1"/>
  <c r="AL47" i="41"/>
  <c r="AM47" i="41" s="1"/>
  <c r="AH47" i="41"/>
  <c r="AI47" i="41" s="1"/>
  <c r="Y47" i="41"/>
  <c r="Z47" i="41" s="1"/>
  <c r="U47" i="41"/>
  <c r="V47" i="41" s="1"/>
  <c r="P47" i="41"/>
  <c r="O47" i="41"/>
  <c r="F47" i="41"/>
  <c r="G47" i="41" s="1"/>
  <c r="E47" i="41"/>
  <c r="BK46" i="41"/>
  <c r="BL46" i="41" s="1"/>
  <c r="BG46" i="41"/>
  <c r="BH46" i="41" s="1"/>
  <c r="BC46" i="41"/>
  <c r="BD46" i="41" s="1"/>
  <c r="AY46" i="41"/>
  <c r="BO46" i="41" s="1"/>
  <c r="AP46" i="41"/>
  <c r="AQ46" i="41" s="1"/>
  <c r="AL46" i="41"/>
  <c r="AH46" i="41"/>
  <c r="AI46" i="41" s="1"/>
  <c r="Y46" i="41"/>
  <c r="Z46" i="41" s="1"/>
  <c r="U46" i="41"/>
  <c r="V46" i="41" s="1"/>
  <c r="P46" i="41"/>
  <c r="O46" i="41"/>
  <c r="F46" i="41"/>
  <c r="G46" i="41" s="1"/>
  <c r="E46" i="41"/>
  <c r="BK45" i="41"/>
  <c r="BL45" i="41" s="1"/>
  <c r="BG45" i="41"/>
  <c r="BH45" i="41" s="1"/>
  <c r="BC45" i="41"/>
  <c r="BD45" i="41" s="1"/>
  <c r="AY45" i="41"/>
  <c r="AQ45" i="41"/>
  <c r="AP45" i="41"/>
  <c r="AL45" i="41"/>
  <c r="AM45" i="41" s="1"/>
  <c r="AH45" i="41"/>
  <c r="Y45" i="41"/>
  <c r="Z45" i="41" s="1"/>
  <c r="U45" i="41"/>
  <c r="V45" i="41" s="1"/>
  <c r="P45" i="41"/>
  <c r="O45" i="41"/>
  <c r="F45" i="41"/>
  <c r="G45" i="41" s="1"/>
  <c r="E45" i="41"/>
  <c r="BO44" i="41"/>
  <c r="BL44" i="41"/>
  <c r="BK44" i="41"/>
  <c r="BG44" i="41"/>
  <c r="BH44" i="41" s="1"/>
  <c r="BC44" i="41"/>
  <c r="BD44" i="41" s="1"/>
  <c r="AY44" i="41"/>
  <c r="AQ44" i="41"/>
  <c r="AP44" i="41"/>
  <c r="AL44" i="41"/>
  <c r="AM44" i="41" s="1"/>
  <c r="AH44" i="41"/>
  <c r="AI44" i="41" s="1"/>
  <c r="Y44" i="41"/>
  <c r="Z44" i="41" s="1"/>
  <c r="U44" i="41"/>
  <c r="V44" i="41" s="1"/>
  <c r="P44" i="41"/>
  <c r="O44" i="41"/>
  <c r="F44" i="41"/>
  <c r="G44" i="41" s="1"/>
  <c r="E44" i="41"/>
  <c r="BL43" i="41"/>
  <c r="BK43" i="41"/>
  <c r="BG43" i="41"/>
  <c r="BH43" i="41" s="1"/>
  <c r="BC43" i="41"/>
  <c r="BD43" i="41" s="1"/>
  <c r="AY43" i="41"/>
  <c r="BO43" i="41" s="1"/>
  <c r="AP43" i="41"/>
  <c r="AQ43" i="41" s="1"/>
  <c r="AL43" i="41"/>
  <c r="AM43" i="41" s="1"/>
  <c r="AH43" i="41"/>
  <c r="AI43" i="41" s="1"/>
  <c r="Y43" i="41"/>
  <c r="Z43" i="41" s="1"/>
  <c r="U43" i="41"/>
  <c r="V43" i="41" s="1"/>
  <c r="P43" i="41"/>
  <c r="O43" i="41"/>
  <c r="F43" i="41"/>
  <c r="G43" i="41" s="1"/>
  <c r="E43" i="41"/>
  <c r="BK42" i="41"/>
  <c r="BL42" i="41" s="1"/>
  <c r="BG42" i="41"/>
  <c r="BH42" i="41" s="1"/>
  <c r="BC42" i="41"/>
  <c r="BD42" i="41" s="1"/>
  <c r="AY42" i="41"/>
  <c r="AP42" i="41"/>
  <c r="AQ42" i="41" s="1"/>
  <c r="AL42" i="41"/>
  <c r="AM42" i="41" s="1"/>
  <c r="AH42" i="41"/>
  <c r="Y42" i="41"/>
  <c r="Z42" i="41" s="1"/>
  <c r="U42" i="41"/>
  <c r="V42" i="41" s="1"/>
  <c r="P42" i="41"/>
  <c r="O42" i="41"/>
  <c r="F42" i="41"/>
  <c r="G42" i="41" s="1"/>
  <c r="E42" i="41"/>
  <c r="BK41" i="41"/>
  <c r="BL41" i="41" s="1"/>
  <c r="BG41" i="41"/>
  <c r="BH41" i="41" s="1"/>
  <c r="BC41" i="41"/>
  <c r="BD41" i="41" s="1"/>
  <c r="AY41" i="41"/>
  <c r="BO41" i="41" s="1"/>
  <c r="AP41" i="41"/>
  <c r="AQ41" i="41" s="1"/>
  <c r="AL41" i="41"/>
  <c r="AM41" i="41" s="1"/>
  <c r="AH41" i="41"/>
  <c r="AI41" i="41" s="1"/>
  <c r="Y41" i="41"/>
  <c r="Z41" i="41" s="1"/>
  <c r="U41" i="41"/>
  <c r="V41" i="41" s="1"/>
  <c r="P41" i="41"/>
  <c r="O41" i="41"/>
  <c r="F41" i="41"/>
  <c r="G41" i="41" s="1"/>
  <c r="E41" i="41"/>
  <c r="BK40" i="41"/>
  <c r="BL40" i="41" s="1"/>
  <c r="BG40" i="41"/>
  <c r="BH40" i="41" s="1"/>
  <c r="BC40" i="41"/>
  <c r="BD40" i="41" s="1"/>
  <c r="AY40" i="41"/>
  <c r="BO40" i="41" s="1"/>
  <c r="AP40" i="41"/>
  <c r="AL40" i="41"/>
  <c r="AM40" i="41" s="1"/>
  <c r="AH40" i="41"/>
  <c r="AI40" i="41" s="1"/>
  <c r="Y40" i="41"/>
  <c r="Z40" i="41" s="1"/>
  <c r="U40" i="41"/>
  <c r="V40" i="41" s="1"/>
  <c r="P40" i="41"/>
  <c r="O40" i="41"/>
  <c r="F40" i="41"/>
  <c r="G40" i="41" s="1"/>
  <c r="E40" i="41"/>
  <c r="BK39" i="41"/>
  <c r="BL39" i="41" s="1"/>
  <c r="BG39" i="41"/>
  <c r="BH39" i="41" s="1"/>
  <c r="BC39" i="41"/>
  <c r="BD39" i="41" s="1"/>
  <c r="AY39" i="41"/>
  <c r="AP39" i="41"/>
  <c r="AQ39" i="41" s="1"/>
  <c r="AL39" i="41"/>
  <c r="AM39" i="41" s="1"/>
  <c r="AH39" i="41"/>
  <c r="Y39" i="41"/>
  <c r="Z39" i="41" s="1"/>
  <c r="U39" i="41"/>
  <c r="V39" i="41" s="1"/>
  <c r="P39" i="41"/>
  <c r="O39" i="41"/>
  <c r="F39" i="41"/>
  <c r="G39" i="41" s="1"/>
  <c r="E39" i="41"/>
  <c r="BK38" i="41"/>
  <c r="BL38" i="41" s="1"/>
  <c r="BG38" i="41"/>
  <c r="BH38" i="41" s="1"/>
  <c r="BC38" i="41"/>
  <c r="BD38" i="41" s="1"/>
  <c r="AY38" i="41"/>
  <c r="BO38" i="41" s="1"/>
  <c r="AP38" i="41"/>
  <c r="AQ38" i="41" s="1"/>
  <c r="AL38" i="41"/>
  <c r="AM38" i="41" s="1"/>
  <c r="AH38" i="41"/>
  <c r="Y38" i="41"/>
  <c r="Z38" i="41" s="1"/>
  <c r="U38" i="41"/>
  <c r="V38" i="41" s="1"/>
  <c r="P38" i="41"/>
  <c r="O38" i="41"/>
  <c r="F38" i="41"/>
  <c r="G38" i="41" s="1"/>
  <c r="E38" i="41"/>
  <c r="BK37" i="41"/>
  <c r="BL37" i="41" s="1"/>
  <c r="BG37" i="41"/>
  <c r="BH37" i="41" s="1"/>
  <c r="BC37" i="41"/>
  <c r="BD37" i="41" s="1"/>
  <c r="AY37" i="41"/>
  <c r="AP37" i="41"/>
  <c r="AQ37" i="41" s="1"/>
  <c r="AL37" i="41"/>
  <c r="AH37" i="41"/>
  <c r="AI37" i="41" s="1"/>
  <c r="Y37" i="41"/>
  <c r="Z37" i="41" s="1"/>
  <c r="U37" i="41"/>
  <c r="V37" i="41" s="1"/>
  <c r="P37" i="41"/>
  <c r="O37" i="41"/>
  <c r="F37" i="41"/>
  <c r="G37" i="41" s="1"/>
  <c r="E37" i="41"/>
  <c r="BL36" i="41"/>
  <c r="BK36" i="41"/>
  <c r="BG36" i="41"/>
  <c r="BH36" i="41" s="1"/>
  <c r="BC36" i="41"/>
  <c r="BD36" i="41" s="1"/>
  <c r="AY36" i="41"/>
  <c r="AP36" i="41"/>
  <c r="AQ36" i="41" s="1"/>
  <c r="AL36" i="41"/>
  <c r="AM36" i="41" s="1"/>
  <c r="AH36" i="41"/>
  <c r="Y36" i="41"/>
  <c r="Z36" i="41" s="1"/>
  <c r="U36" i="41"/>
  <c r="V36" i="41" s="1"/>
  <c r="P36" i="41"/>
  <c r="O36" i="41"/>
  <c r="F36" i="41"/>
  <c r="G36" i="41" s="1"/>
  <c r="E36" i="41"/>
  <c r="BK35" i="41"/>
  <c r="BL35" i="41" s="1"/>
  <c r="BH35" i="41"/>
  <c r="BG35" i="41"/>
  <c r="BC35" i="41"/>
  <c r="BD35" i="41" s="1"/>
  <c r="AY35" i="41"/>
  <c r="BO35" i="41" s="1"/>
  <c r="AP35" i="41"/>
  <c r="AQ35" i="41" s="1"/>
  <c r="AL35" i="41"/>
  <c r="AM35" i="41" s="1"/>
  <c r="AH35" i="41"/>
  <c r="Y35" i="41"/>
  <c r="Z35" i="41" s="1"/>
  <c r="U35" i="41"/>
  <c r="V35" i="41" s="1"/>
  <c r="P35" i="41"/>
  <c r="O35" i="41"/>
  <c r="F35" i="41"/>
  <c r="G35" i="41" s="1"/>
  <c r="E35" i="41"/>
  <c r="BK34" i="41"/>
  <c r="BL34" i="41" s="1"/>
  <c r="BG34" i="41"/>
  <c r="BH34" i="41" s="1"/>
  <c r="BD34" i="41"/>
  <c r="BC34" i="41"/>
  <c r="AY34" i="41"/>
  <c r="AQ34" i="41"/>
  <c r="AP34" i="41"/>
  <c r="AL34" i="41"/>
  <c r="AM34" i="41" s="1"/>
  <c r="AH34" i="41"/>
  <c r="AI34" i="41" s="1"/>
  <c r="Y34" i="41"/>
  <c r="Z34" i="41" s="1"/>
  <c r="U34" i="41"/>
  <c r="V34" i="41" s="1"/>
  <c r="P34" i="41"/>
  <c r="O34" i="41"/>
  <c r="F34" i="41"/>
  <c r="G34" i="41" s="1"/>
  <c r="E34" i="41"/>
  <c r="BK33" i="41"/>
  <c r="BL33" i="41" s="1"/>
  <c r="BG33" i="41"/>
  <c r="BH33" i="41" s="1"/>
  <c r="BC33" i="41"/>
  <c r="BD33" i="41" s="1"/>
  <c r="AY33" i="41"/>
  <c r="AP33" i="41"/>
  <c r="AQ33" i="41" s="1"/>
  <c r="AL33" i="41"/>
  <c r="AM33" i="41" s="1"/>
  <c r="AH33" i="41"/>
  <c r="AI33" i="41" s="1"/>
  <c r="Y33" i="41"/>
  <c r="Z33" i="41" s="1"/>
  <c r="U33" i="41"/>
  <c r="V33" i="41" s="1"/>
  <c r="P33" i="41"/>
  <c r="O33" i="41"/>
  <c r="F33" i="41"/>
  <c r="G33" i="41" s="1"/>
  <c r="E33" i="41"/>
  <c r="BK32" i="41"/>
  <c r="BL32" i="41" s="1"/>
  <c r="BG32" i="41"/>
  <c r="BH32" i="41" s="1"/>
  <c r="BC32" i="41"/>
  <c r="BD32" i="41" s="1"/>
  <c r="AY32" i="41"/>
  <c r="BO32" i="41" s="1"/>
  <c r="AP32" i="41"/>
  <c r="AQ32" i="41" s="1"/>
  <c r="AL32" i="41"/>
  <c r="AM32" i="41" s="1"/>
  <c r="AH32" i="41"/>
  <c r="Y32" i="41"/>
  <c r="Z32" i="41" s="1"/>
  <c r="U32" i="41"/>
  <c r="V32" i="41" s="1"/>
  <c r="P32" i="41"/>
  <c r="O32" i="41"/>
  <c r="F32" i="41"/>
  <c r="G32" i="41" s="1"/>
  <c r="E32" i="41"/>
  <c r="BK31" i="41"/>
  <c r="BL31" i="41" s="1"/>
  <c r="BG31" i="41"/>
  <c r="BH31" i="41" s="1"/>
  <c r="BC31" i="41"/>
  <c r="BD31" i="41" s="1"/>
  <c r="AY31" i="41"/>
  <c r="AP31" i="41"/>
  <c r="AQ31" i="41" s="1"/>
  <c r="AL31" i="41"/>
  <c r="AM31" i="41" s="1"/>
  <c r="AH31" i="41"/>
  <c r="AI31" i="41" s="1"/>
  <c r="Y31" i="41"/>
  <c r="Z31" i="41" s="1"/>
  <c r="U31" i="41"/>
  <c r="V31" i="41" s="1"/>
  <c r="P31" i="41"/>
  <c r="O31" i="41"/>
  <c r="F31" i="41"/>
  <c r="G31" i="41" s="1"/>
  <c r="E31" i="41"/>
  <c r="BK30" i="41"/>
  <c r="BL30" i="41" s="1"/>
  <c r="BG30" i="41"/>
  <c r="BH30" i="41" s="1"/>
  <c r="BD30" i="41"/>
  <c r="BC30" i="41"/>
  <c r="AY30" i="41"/>
  <c r="BO30" i="41" s="1"/>
  <c r="AP30" i="41"/>
  <c r="AL30" i="41"/>
  <c r="AM30" i="41" s="1"/>
  <c r="AH30" i="41"/>
  <c r="AI30" i="41" s="1"/>
  <c r="Y30" i="41"/>
  <c r="Z30" i="41" s="1"/>
  <c r="U30" i="41"/>
  <c r="V30" i="41" s="1"/>
  <c r="P30" i="41"/>
  <c r="O30" i="41"/>
  <c r="Q30" i="41" s="1"/>
  <c r="R30" i="41" s="1"/>
  <c r="S30" i="41" s="1"/>
  <c r="F30" i="41"/>
  <c r="G30" i="41" s="1"/>
  <c r="E30" i="41"/>
  <c r="BK29" i="41"/>
  <c r="BL29" i="41" s="1"/>
  <c r="BG29" i="41"/>
  <c r="BH29" i="41" s="1"/>
  <c r="BC29" i="41"/>
  <c r="BD29" i="41" s="1"/>
  <c r="AY29" i="41"/>
  <c r="BO29" i="41" s="1"/>
  <c r="AP29" i="41"/>
  <c r="AL29" i="41"/>
  <c r="AM29" i="41" s="1"/>
  <c r="AH29" i="41"/>
  <c r="AI29" i="41" s="1"/>
  <c r="Y29" i="41"/>
  <c r="Z29" i="41" s="1"/>
  <c r="V29" i="41"/>
  <c r="U29" i="41"/>
  <c r="P29" i="41"/>
  <c r="O29" i="41"/>
  <c r="F29" i="41"/>
  <c r="G29" i="41" s="1"/>
  <c r="E29" i="41"/>
  <c r="BK28" i="41"/>
  <c r="BL28" i="41" s="1"/>
  <c r="BG28" i="41"/>
  <c r="BH28" i="41" s="1"/>
  <c r="BC28" i="41"/>
  <c r="BD28" i="41" s="1"/>
  <c r="AY28" i="41"/>
  <c r="AP28" i="41"/>
  <c r="AQ28" i="41" s="1"/>
  <c r="AL28" i="41"/>
  <c r="AM28" i="41" s="1"/>
  <c r="AH28" i="41"/>
  <c r="AI28" i="41" s="1"/>
  <c r="Y28" i="41"/>
  <c r="Z28" i="41" s="1"/>
  <c r="V28" i="41"/>
  <c r="U28" i="41"/>
  <c r="P28" i="41"/>
  <c r="O28" i="41"/>
  <c r="Q28" i="41" s="1"/>
  <c r="R28" i="41" s="1"/>
  <c r="S28" i="41" s="1"/>
  <c r="F28" i="41"/>
  <c r="G28" i="41" s="1"/>
  <c r="E28" i="41"/>
  <c r="BK27" i="41"/>
  <c r="BL27" i="41" s="1"/>
  <c r="BG27" i="41"/>
  <c r="BH27" i="41" s="1"/>
  <c r="BC27" i="41"/>
  <c r="BD27" i="41" s="1"/>
  <c r="AY27" i="41"/>
  <c r="BO27" i="41" s="1"/>
  <c r="AP27" i="41"/>
  <c r="AL27" i="41"/>
  <c r="AM27" i="41" s="1"/>
  <c r="AI27" i="41"/>
  <c r="AH27" i="41"/>
  <c r="Y27" i="41"/>
  <c r="Z27" i="41" s="1"/>
  <c r="V27" i="41"/>
  <c r="U27" i="41"/>
  <c r="P27" i="41"/>
  <c r="O27" i="41"/>
  <c r="F27" i="41"/>
  <c r="G27" i="41" s="1"/>
  <c r="E27" i="41"/>
  <c r="BK26" i="41"/>
  <c r="BL26" i="41" s="1"/>
  <c r="BG26" i="41"/>
  <c r="BH26" i="41" s="1"/>
  <c r="BC26" i="41"/>
  <c r="BD26" i="41" s="1"/>
  <c r="AY26" i="41"/>
  <c r="BO26" i="41" s="1"/>
  <c r="AP26" i="41"/>
  <c r="AQ26" i="41" s="1"/>
  <c r="AL26" i="41"/>
  <c r="AI26" i="41"/>
  <c r="AH26" i="41"/>
  <c r="Y26" i="41"/>
  <c r="Z26" i="41" s="1"/>
  <c r="U26" i="41"/>
  <c r="V26" i="41" s="1"/>
  <c r="P26" i="41"/>
  <c r="O26" i="41"/>
  <c r="F26" i="41"/>
  <c r="G26" i="41" s="1"/>
  <c r="E26" i="41"/>
  <c r="BK25" i="41"/>
  <c r="BL25" i="41" s="1"/>
  <c r="BG25" i="41"/>
  <c r="BH25" i="41" s="1"/>
  <c r="BC25" i="41"/>
  <c r="BD25" i="41" s="1"/>
  <c r="AY25" i="41"/>
  <c r="AP25" i="41"/>
  <c r="AQ25" i="41" s="1"/>
  <c r="AM25" i="41"/>
  <c r="AL25" i="41"/>
  <c r="AH25" i="41"/>
  <c r="AI25" i="41" s="1"/>
  <c r="Y25" i="41"/>
  <c r="Z25" i="41" s="1"/>
  <c r="U25" i="41"/>
  <c r="V25" i="41" s="1"/>
  <c r="P25" i="41"/>
  <c r="O25" i="41"/>
  <c r="F25" i="41"/>
  <c r="G25" i="41" s="1"/>
  <c r="E25" i="41"/>
  <c r="BK24" i="41"/>
  <c r="BL24" i="41" s="1"/>
  <c r="BG24" i="41"/>
  <c r="BH24" i="41" s="1"/>
  <c r="BC24" i="41"/>
  <c r="BD24" i="41" s="1"/>
  <c r="AY24" i="41"/>
  <c r="BO24" i="41" s="1"/>
  <c r="AP24" i="41"/>
  <c r="AL24" i="41"/>
  <c r="AM24" i="41" s="1"/>
  <c r="AH24" i="41"/>
  <c r="AI24" i="41" s="1"/>
  <c r="Y24" i="41"/>
  <c r="Z24" i="41" s="1"/>
  <c r="U24" i="41"/>
  <c r="V24" i="41" s="1"/>
  <c r="P24" i="41"/>
  <c r="O24" i="41"/>
  <c r="F24" i="41"/>
  <c r="G24" i="41" s="1"/>
  <c r="E24" i="41"/>
  <c r="BK23" i="41"/>
  <c r="BL23" i="41" s="1"/>
  <c r="BG23" i="41"/>
  <c r="BH23" i="41" s="1"/>
  <c r="BC23" i="41"/>
  <c r="BD23" i="41" s="1"/>
  <c r="AY23" i="41"/>
  <c r="BO23" i="41" s="1"/>
  <c r="AP23" i="41"/>
  <c r="AQ23" i="41" s="1"/>
  <c r="AL23" i="41"/>
  <c r="AH23" i="41"/>
  <c r="AI23" i="41" s="1"/>
  <c r="Y23" i="41"/>
  <c r="Z23" i="41" s="1"/>
  <c r="U23" i="41"/>
  <c r="V23" i="41" s="1"/>
  <c r="P23" i="41"/>
  <c r="O23" i="41"/>
  <c r="F23" i="41"/>
  <c r="G23" i="41" s="1"/>
  <c r="E23" i="41"/>
  <c r="BK22" i="41"/>
  <c r="BL22" i="41" s="1"/>
  <c r="BG22" i="41"/>
  <c r="BH22" i="41" s="1"/>
  <c r="BC22" i="41"/>
  <c r="BD22" i="41" s="1"/>
  <c r="AY22" i="41"/>
  <c r="AP22" i="41"/>
  <c r="AQ22" i="41" s="1"/>
  <c r="AL22" i="41"/>
  <c r="AM22" i="41" s="1"/>
  <c r="AH22" i="41"/>
  <c r="Y22" i="41"/>
  <c r="Z22" i="41" s="1"/>
  <c r="U22" i="41"/>
  <c r="V22" i="41" s="1"/>
  <c r="P22" i="41"/>
  <c r="O22" i="41"/>
  <c r="F22" i="41"/>
  <c r="G22" i="41" s="1"/>
  <c r="E22" i="41"/>
  <c r="BK21" i="41"/>
  <c r="BL21" i="41" s="1"/>
  <c r="BG21" i="41"/>
  <c r="BH21" i="41" s="1"/>
  <c r="BC21" i="41"/>
  <c r="BD21" i="41" s="1"/>
  <c r="AY21" i="41"/>
  <c r="BO21" i="41" s="1"/>
  <c r="AP21" i="41"/>
  <c r="AL21" i="41"/>
  <c r="AM21" i="41" s="1"/>
  <c r="AH21" i="41"/>
  <c r="AI21" i="41" s="1"/>
  <c r="Y21" i="41"/>
  <c r="Z21" i="41" s="1"/>
  <c r="U21" i="41"/>
  <c r="V21" i="41" s="1"/>
  <c r="P21" i="41"/>
  <c r="O21" i="41"/>
  <c r="F21" i="41"/>
  <c r="G21" i="41" s="1"/>
  <c r="E21" i="41"/>
  <c r="BK20" i="41"/>
  <c r="BL20" i="41" s="1"/>
  <c r="BG20" i="41"/>
  <c r="BH20" i="41" s="1"/>
  <c r="BC20" i="41"/>
  <c r="BD20" i="41" s="1"/>
  <c r="AY20" i="41"/>
  <c r="BO20" i="41" s="1"/>
  <c r="AP20" i="41"/>
  <c r="AQ20" i="41" s="1"/>
  <c r="AL20" i="41"/>
  <c r="AM20" i="41" s="1"/>
  <c r="AH20" i="41"/>
  <c r="AI20" i="41" s="1"/>
  <c r="Y20" i="41"/>
  <c r="Z20" i="41" s="1"/>
  <c r="U20" i="41"/>
  <c r="V20" i="41" s="1"/>
  <c r="P20" i="41"/>
  <c r="O20" i="41"/>
  <c r="F20" i="41"/>
  <c r="G20" i="41" s="1"/>
  <c r="E20" i="41"/>
  <c r="BK19" i="41"/>
  <c r="BL19" i="41" s="1"/>
  <c r="BG19" i="41"/>
  <c r="BH19" i="41" s="1"/>
  <c r="BC19" i="41"/>
  <c r="BD19" i="41" s="1"/>
  <c r="AY19" i="41"/>
  <c r="AQ19" i="41"/>
  <c r="AP19" i="41"/>
  <c r="AL19" i="41"/>
  <c r="AM19" i="41" s="1"/>
  <c r="AH19" i="41"/>
  <c r="Y19" i="41"/>
  <c r="Z19" i="41" s="1"/>
  <c r="V19" i="41"/>
  <c r="U19" i="41"/>
  <c r="P19" i="41"/>
  <c r="O19" i="41"/>
  <c r="F19" i="41"/>
  <c r="G19" i="41" s="1"/>
  <c r="E19" i="41"/>
  <c r="BK18" i="41"/>
  <c r="BL18" i="41" s="1"/>
  <c r="BG18" i="41"/>
  <c r="BH18" i="41" s="1"/>
  <c r="BC18" i="41"/>
  <c r="BD18" i="41" s="1"/>
  <c r="AY18" i="41"/>
  <c r="AP18" i="41"/>
  <c r="AQ18" i="41" s="1"/>
  <c r="AL18" i="41"/>
  <c r="AM18" i="41" s="1"/>
  <c r="AI18" i="41"/>
  <c r="AH18" i="41"/>
  <c r="Y18" i="41"/>
  <c r="Z18" i="41" s="1"/>
  <c r="U18" i="41"/>
  <c r="V18" i="41" s="1"/>
  <c r="P18" i="41"/>
  <c r="O18" i="41"/>
  <c r="F18" i="41"/>
  <c r="G18" i="41" s="1"/>
  <c r="E18" i="41"/>
  <c r="BK17" i="41"/>
  <c r="BL17" i="41" s="1"/>
  <c r="BG17" i="41"/>
  <c r="BH17" i="41" s="1"/>
  <c r="BC17" i="41"/>
  <c r="BD17" i="41" s="1"/>
  <c r="AY17" i="41"/>
  <c r="BO17" i="41" s="1"/>
  <c r="AP17" i="41"/>
  <c r="AQ17" i="41" s="1"/>
  <c r="AL17" i="41"/>
  <c r="AM17" i="41" s="1"/>
  <c r="AI17" i="41"/>
  <c r="AH17" i="41"/>
  <c r="Y17" i="41"/>
  <c r="Z17" i="41" s="1"/>
  <c r="U17" i="41"/>
  <c r="V17" i="41" s="1"/>
  <c r="P17" i="41"/>
  <c r="O17" i="41"/>
  <c r="F17" i="41"/>
  <c r="G17" i="41" s="1"/>
  <c r="E17" i="41"/>
  <c r="BK16" i="41"/>
  <c r="BL16" i="41" s="1"/>
  <c r="BG16" i="41"/>
  <c r="BH16" i="41" s="1"/>
  <c r="BC16" i="41"/>
  <c r="BD16" i="41" s="1"/>
  <c r="BE16" i="41" s="1"/>
  <c r="AY16" i="41"/>
  <c r="BO16" i="41" s="1"/>
  <c r="AP16" i="41"/>
  <c r="AQ16" i="41" s="1"/>
  <c r="AL16" i="41"/>
  <c r="AM16" i="41" s="1"/>
  <c r="AH16" i="41"/>
  <c r="AI16" i="41" s="1"/>
  <c r="Y16" i="41"/>
  <c r="Z16" i="41" s="1"/>
  <c r="U16" i="41"/>
  <c r="V16" i="41" s="1"/>
  <c r="P16" i="41"/>
  <c r="O16" i="41"/>
  <c r="F16" i="41"/>
  <c r="G16" i="41" s="1"/>
  <c r="E16" i="41"/>
  <c r="BK15" i="41"/>
  <c r="BL15" i="41" s="1"/>
  <c r="BG15" i="41"/>
  <c r="BH15" i="41" s="1"/>
  <c r="BC15" i="41"/>
  <c r="BD15" i="41" s="1"/>
  <c r="AY15" i="41"/>
  <c r="BO15" i="41" s="1"/>
  <c r="AP15" i="41"/>
  <c r="AQ15" i="41" s="1"/>
  <c r="AL15" i="41"/>
  <c r="AM15" i="41" s="1"/>
  <c r="AH15" i="41"/>
  <c r="AI15" i="41" s="1"/>
  <c r="Y15" i="41"/>
  <c r="Z15" i="41" s="1"/>
  <c r="U15" i="41"/>
  <c r="V15" i="41" s="1"/>
  <c r="P15" i="41"/>
  <c r="O15" i="41"/>
  <c r="F15" i="41"/>
  <c r="G15" i="41" s="1"/>
  <c r="E15" i="41"/>
  <c r="BK14" i="41"/>
  <c r="BL14" i="41" s="1"/>
  <c r="BG14" i="41"/>
  <c r="BH14" i="41" s="1"/>
  <c r="BC14" i="41"/>
  <c r="BD14" i="41" s="1"/>
  <c r="AY14" i="41"/>
  <c r="BO14" i="41" s="1"/>
  <c r="AP14" i="41"/>
  <c r="AQ14" i="41" s="1"/>
  <c r="AL14" i="41"/>
  <c r="AM14" i="41" s="1"/>
  <c r="AH14" i="41"/>
  <c r="AI14" i="41" s="1"/>
  <c r="Y14" i="41"/>
  <c r="Z14" i="41" s="1"/>
  <c r="V14" i="41"/>
  <c r="U14" i="41"/>
  <c r="P14" i="41"/>
  <c r="O14" i="41"/>
  <c r="F14" i="41"/>
  <c r="G14" i="41" s="1"/>
  <c r="E14" i="41"/>
  <c r="BE13" i="41"/>
  <c r="AY13" i="41"/>
  <c r="BQ11" i="41"/>
  <c r="BV10" i="41" s="1"/>
  <c r="AW11" i="41"/>
  <c r="O11" i="41"/>
  <c r="AW10" i="41"/>
  <c r="H10" i="41"/>
  <c r="D10" i="41"/>
  <c r="Q19" i="41" l="1"/>
  <c r="R19" i="41" s="1"/>
  <c r="S19" i="41" s="1"/>
  <c r="Q37" i="41"/>
  <c r="R37" i="41" s="1"/>
  <c r="S37" i="41" s="1"/>
  <c r="Q24" i="41"/>
  <c r="R24" i="41" s="1"/>
  <c r="S24" i="41" s="1"/>
  <c r="Q22" i="41"/>
  <c r="R22" i="41" s="1"/>
  <c r="S22" i="41" s="1"/>
  <c r="Q16" i="41"/>
  <c r="R16" i="41" s="1"/>
  <c r="S16" i="41" s="1"/>
  <c r="Q15" i="41"/>
  <c r="R15" i="41" s="1"/>
  <c r="S15" i="41" s="1"/>
  <c r="AU43" i="41"/>
  <c r="Q14" i="41"/>
  <c r="R14" i="41" s="1"/>
  <c r="S14" i="41" s="1"/>
  <c r="Q36" i="41"/>
  <c r="R36" i="41" s="1"/>
  <c r="S36" i="41" s="1"/>
  <c r="Q21" i="41"/>
  <c r="R21" i="41" s="1"/>
  <c r="S21" i="41" s="1"/>
  <c r="AT25" i="41"/>
  <c r="AT36" i="41"/>
  <c r="Q32" i="41"/>
  <c r="R32" i="41" s="1"/>
  <c r="S32" i="41" s="1"/>
  <c r="BE21" i="41"/>
  <c r="AT26" i="41"/>
  <c r="AT22" i="41"/>
  <c r="AZ20" i="41"/>
  <c r="BA20" i="41" s="1"/>
  <c r="Q17" i="41"/>
  <c r="R17" i="41" s="1"/>
  <c r="S17" i="41" s="1"/>
  <c r="AT39" i="41"/>
  <c r="Q48" i="41"/>
  <c r="R48" i="41" s="1"/>
  <c r="S48" i="41" s="1"/>
  <c r="AU44" i="41"/>
  <c r="Q25" i="41"/>
  <c r="R25" i="41" s="1"/>
  <c r="S25" i="41" s="1"/>
  <c r="Q29" i="41"/>
  <c r="R29" i="41" s="1"/>
  <c r="S29" i="41" s="1"/>
  <c r="Q33" i="41"/>
  <c r="R33" i="41" s="1"/>
  <c r="S33" i="41" s="1"/>
  <c r="AT40" i="41"/>
  <c r="Q45" i="41"/>
  <c r="R45" i="41" s="1"/>
  <c r="S45" i="41" s="1"/>
  <c r="AT42" i="41"/>
  <c r="AT18" i="41"/>
  <c r="Q26" i="41"/>
  <c r="R26" i="41" s="1"/>
  <c r="S26" i="41" s="1"/>
  <c r="AT37" i="41"/>
  <c r="Q38" i="41"/>
  <c r="R38" i="41" s="1"/>
  <c r="S38" i="41" s="1"/>
  <c r="Q35" i="41"/>
  <c r="R35" i="41" s="1"/>
  <c r="S35" i="41" s="1"/>
  <c r="AM37" i="41"/>
  <c r="AU37" i="41" s="1"/>
  <c r="AT19" i="41"/>
  <c r="AI22" i="41"/>
  <c r="AU22" i="41" s="1"/>
  <c r="Q23" i="41"/>
  <c r="R23" i="41" s="1"/>
  <c r="S23" i="41" s="1"/>
  <c r="Q27" i="41"/>
  <c r="R27" i="41" s="1"/>
  <c r="S27" i="41" s="1"/>
  <c r="AT29" i="41"/>
  <c r="Q31" i="41"/>
  <c r="R31" i="41" s="1"/>
  <c r="S31" i="41" s="1"/>
  <c r="AU41" i="41"/>
  <c r="AZ19" i="41"/>
  <c r="BA19" i="41" s="1"/>
  <c r="Q40" i="41"/>
  <c r="R40" i="41" s="1"/>
  <c r="S40" i="41" s="1"/>
  <c r="AT46" i="41"/>
  <c r="AT35" i="41"/>
  <c r="Q43" i="41"/>
  <c r="R43" i="41" s="1"/>
  <c r="S43" i="41" s="1"/>
  <c r="Q47" i="41"/>
  <c r="R47" i="41" s="1"/>
  <c r="S47" i="41" s="1"/>
  <c r="BE14" i="41"/>
  <c r="AI35" i="41"/>
  <c r="AU35" i="41" s="1"/>
  <c r="Q50" i="41"/>
  <c r="R50" i="41" s="1"/>
  <c r="S50" i="41" s="1"/>
  <c r="AT21" i="41"/>
  <c r="AT28" i="41"/>
  <c r="AT49" i="41"/>
  <c r="AT53" i="41"/>
  <c r="AZ16" i="41"/>
  <c r="BA16" i="41" s="1"/>
  <c r="Q18" i="41"/>
  <c r="R18" i="41" s="1"/>
  <c r="S18" i="41" s="1"/>
  <c r="AQ40" i="41"/>
  <c r="AZ14" i="41"/>
  <c r="BA14" i="41" s="1"/>
  <c r="BO19" i="41"/>
  <c r="AU50" i="41"/>
  <c r="BE15" i="41"/>
  <c r="Q20" i="41"/>
  <c r="R20" i="41" s="1"/>
  <c r="S20" i="41" s="1"/>
  <c r="AT34" i="41"/>
  <c r="AT45" i="41"/>
  <c r="AT48" i="41"/>
  <c r="Q53" i="41"/>
  <c r="R53" i="41" s="1"/>
  <c r="S53" i="41" s="1"/>
  <c r="Q34" i="41"/>
  <c r="R34" i="41" s="1"/>
  <c r="S34" i="41" s="1"/>
  <c r="BE20" i="41"/>
  <c r="AT52" i="41"/>
  <c r="AJ29" i="41"/>
  <c r="AZ17" i="41"/>
  <c r="BA17" i="41" s="1"/>
  <c r="AT43" i="41"/>
  <c r="Q51" i="41"/>
  <c r="R51" i="41" s="1"/>
  <c r="S51" i="41" s="1"/>
  <c r="AJ17" i="41"/>
  <c r="AJ26" i="41"/>
  <c r="AJ23" i="41"/>
  <c r="W17" i="41"/>
  <c r="W18" i="41"/>
  <c r="W16" i="41"/>
  <c r="W19" i="41"/>
  <c r="W15" i="41"/>
  <c r="W32" i="41"/>
  <c r="W14" i="41"/>
  <c r="W22" i="41"/>
  <c r="AU16" i="41"/>
  <c r="AJ16" i="41"/>
  <c r="AJ14" i="41"/>
  <c r="AU14" i="41"/>
  <c r="AU15" i="41"/>
  <c r="AT15" i="41"/>
  <c r="AI19" i="41"/>
  <c r="AZ52" i="41"/>
  <c r="AZ53" i="41"/>
  <c r="AZ47" i="41"/>
  <c r="AZ44" i="41"/>
  <c r="AZ41" i="41"/>
  <c r="AZ38" i="41"/>
  <c r="AZ50" i="41"/>
  <c r="AU17" i="41"/>
  <c r="BE27" i="41"/>
  <c r="W28" i="41"/>
  <c r="BE30" i="41"/>
  <c r="BE35" i="41"/>
  <c r="W40" i="41"/>
  <c r="AJ47" i="41"/>
  <c r="W49" i="41"/>
  <c r="BE19" i="41"/>
  <c r="BI13" i="41"/>
  <c r="BI15" i="41" s="1"/>
  <c r="AT14" i="41"/>
  <c r="AJ15" i="41"/>
  <c r="AZ15" i="41"/>
  <c r="AT17" i="41"/>
  <c r="BO18" i="41"/>
  <c r="AZ18" i="41"/>
  <c r="AQ21" i="41"/>
  <c r="AT23" i="41"/>
  <c r="AM23" i="41"/>
  <c r="AU23" i="41" s="1"/>
  <c r="BE24" i="41"/>
  <c r="W25" i="41"/>
  <c r="BO28" i="41"/>
  <c r="AZ28" i="41"/>
  <c r="AZ32" i="41"/>
  <c r="W33" i="41"/>
  <c r="W36" i="41"/>
  <c r="BO39" i="41"/>
  <c r="AZ39" i="41"/>
  <c r="BE40" i="41"/>
  <c r="BE48" i="41"/>
  <c r="BE22" i="41"/>
  <c r="W29" i="41"/>
  <c r="BE32" i="41"/>
  <c r="W34" i="41"/>
  <c r="W38" i="41"/>
  <c r="BE39" i="41"/>
  <c r="BO25" i="41"/>
  <c r="AZ25" i="41"/>
  <c r="BE28" i="41"/>
  <c r="BO36" i="41"/>
  <c r="AZ36" i="41"/>
  <c r="W37" i="41"/>
  <c r="AJ44" i="41"/>
  <c r="AT20" i="41"/>
  <c r="W23" i="41"/>
  <c r="AU20" i="41"/>
  <c r="W26" i="41"/>
  <c r="AJ27" i="41"/>
  <c r="AZ29" i="41"/>
  <c r="AJ30" i="41"/>
  <c r="BE33" i="41"/>
  <c r="BO34" i="41"/>
  <c r="AZ34" i="41"/>
  <c r="BE36" i="41"/>
  <c r="AJ41" i="41"/>
  <c r="AT16" i="41"/>
  <c r="AJ18" i="41"/>
  <c r="AU18" i="41"/>
  <c r="BE18" i="41"/>
  <c r="W20" i="41"/>
  <c r="AJ20" i="41"/>
  <c r="AZ23" i="41"/>
  <c r="BE25" i="41"/>
  <c r="AZ26" i="41"/>
  <c r="AT31" i="41"/>
  <c r="BE37" i="41"/>
  <c r="BI38" i="41"/>
  <c r="Q46" i="41"/>
  <c r="R46" i="41" s="1"/>
  <c r="S46" i="41" s="1"/>
  <c r="BE17" i="41"/>
  <c r="AJ24" i="41"/>
  <c r="BI25" i="41"/>
  <c r="AT27" i="41"/>
  <c r="AQ27" i="41"/>
  <c r="BE29" i="41"/>
  <c r="AT30" i="41"/>
  <c r="AQ30" i="41"/>
  <c r="BI36" i="41"/>
  <c r="BE26" i="41"/>
  <c r="W30" i="41"/>
  <c r="BE46" i="41"/>
  <c r="W52" i="41"/>
  <c r="W43" i="41"/>
  <c r="W46" i="41"/>
  <c r="AA13" i="41"/>
  <c r="AJ21" i="41"/>
  <c r="BE23" i="41"/>
  <c r="AT24" i="41"/>
  <c r="AQ24" i="41"/>
  <c r="W27" i="41"/>
  <c r="AJ28" i="41"/>
  <c r="AU28" i="41"/>
  <c r="AT32" i="41"/>
  <c r="AI32" i="41"/>
  <c r="BI34" i="41"/>
  <c r="BO45" i="41"/>
  <c r="AZ45" i="41"/>
  <c r="BE31" i="41"/>
  <c r="W21" i="41"/>
  <c r="W31" i="41"/>
  <c r="BO42" i="41"/>
  <c r="AZ42" i="41"/>
  <c r="BE45" i="41"/>
  <c r="AU48" i="41"/>
  <c r="AJ48" i="41"/>
  <c r="BO22" i="41"/>
  <c r="AZ22" i="41"/>
  <c r="AN13" i="41"/>
  <c r="W24" i="41"/>
  <c r="AJ25" i="41"/>
  <c r="AU25" i="41"/>
  <c r="AJ33" i="41"/>
  <c r="AU33" i="41"/>
  <c r="AJ34" i="41"/>
  <c r="AU34" i="41"/>
  <c r="AZ35" i="41"/>
  <c r="W41" i="41"/>
  <c r="BE42" i="41"/>
  <c r="BE43" i="41"/>
  <c r="BE51" i="41"/>
  <c r="BO31" i="41"/>
  <c r="AZ31" i="41"/>
  <c r="BO33" i="41"/>
  <c r="AZ33" i="41"/>
  <c r="AJ37" i="41"/>
  <c r="BE49" i="41"/>
  <c r="AM26" i="41"/>
  <c r="AU26" i="41" s="1"/>
  <c r="AJ31" i="41"/>
  <c r="AT33" i="41"/>
  <c r="W35" i="41"/>
  <c r="BI49" i="41"/>
  <c r="BE50" i="41"/>
  <c r="W51" i="41"/>
  <c r="BO51" i="41"/>
  <c r="AZ51" i="41"/>
  <c r="AI38" i="41"/>
  <c r="AT38" i="41"/>
  <c r="BE38" i="41"/>
  <c r="AJ46" i="41"/>
  <c r="W47" i="41"/>
  <c r="AJ49" i="41"/>
  <c r="AU49" i="41"/>
  <c r="AQ29" i="41"/>
  <c r="AI36" i="41"/>
  <c r="Q39" i="41"/>
  <c r="R39" i="41" s="1"/>
  <c r="S39" i="41" s="1"/>
  <c r="W53" i="41"/>
  <c r="BE34" i="41"/>
  <c r="BE41" i="41"/>
  <c r="Q42" i="41"/>
  <c r="R42" i="41" s="1"/>
  <c r="S42" i="41" s="1"/>
  <c r="BE44" i="41"/>
  <c r="AM46" i="41"/>
  <c r="AU46" i="41" s="1"/>
  <c r="W48" i="41"/>
  <c r="BO48" i="41"/>
  <c r="AZ48" i="41"/>
  <c r="AJ50" i="41"/>
  <c r="BE52" i="41"/>
  <c r="Q41" i="41"/>
  <c r="R41" i="41" s="1"/>
  <c r="S41" i="41" s="1"/>
  <c r="BI42" i="41"/>
  <c r="Q44" i="41"/>
  <c r="R44" i="41" s="1"/>
  <c r="S44" i="41" s="1"/>
  <c r="BE47" i="41"/>
  <c r="BE53" i="41"/>
  <c r="AZ21" i="41"/>
  <c r="AZ24" i="41"/>
  <c r="AZ27" i="41"/>
  <c r="AZ30" i="41"/>
  <c r="W39" i="41"/>
  <c r="AJ40" i="41"/>
  <c r="BI40" i="41"/>
  <c r="AJ43" i="41"/>
  <c r="BI43" i="41"/>
  <c r="BI52" i="41"/>
  <c r="AI39" i="41"/>
  <c r="W42" i="41"/>
  <c r="AI42" i="41"/>
  <c r="W45" i="41"/>
  <c r="AI45" i="41"/>
  <c r="AT51" i="41"/>
  <c r="BO37" i="41"/>
  <c r="AZ37" i="41"/>
  <c r="W44" i="41"/>
  <c r="AU51" i="41"/>
  <c r="AJ51" i="41"/>
  <c r="AU31" i="41"/>
  <c r="AU47" i="41"/>
  <c r="W50" i="41"/>
  <c r="AJ52" i="41"/>
  <c r="AU52" i="41"/>
  <c r="AJ53" i="41"/>
  <c r="AU53" i="41"/>
  <c r="AT41" i="41"/>
  <c r="AT44" i="41"/>
  <c r="AT47" i="41"/>
  <c r="AT50" i="41"/>
  <c r="AZ40" i="41"/>
  <c r="AZ43" i="41"/>
  <c r="AZ46" i="41"/>
  <c r="AZ49" i="41"/>
  <c r="AR21" i="41" l="1"/>
  <c r="AN35" i="41"/>
  <c r="AR13" i="41"/>
  <c r="AR29" i="41" s="1"/>
  <c r="AR24" i="41"/>
  <c r="AR27" i="41"/>
  <c r="AA25" i="41"/>
  <c r="AE13" i="41"/>
  <c r="T11" i="41"/>
  <c r="AU40" i="41"/>
  <c r="AU30" i="41"/>
  <c r="AJ22" i="41"/>
  <c r="AN50" i="41"/>
  <c r="BI46" i="41"/>
  <c r="AA49" i="41"/>
  <c r="BI39" i="41"/>
  <c r="BI48" i="41"/>
  <c r="BI51" i="41"/>
  <c r="BI37" i="41"/>
  <c r="BI28" i="41"/>
  <c r="BI35" i="41"/>
  <c r="BI47" i="41"/>
  <c r="AU27" i="41"/>
  <c r="BI53" i="41"/>
  <c r="AU21" i="41"/>
  <c r="BI33" i="41"/>
  <c r="BI45" i="41"/>
  <c r="AU24" i="41"/>
  <c r="AJ35" i="41"/>
  <c r="AA51" i="41"/>
  <c r="AA41" i="41"/>
  <c r="AA40" i="41"/>
  <c r="AA47" i="41"/>
  <c r="AA53" i="41"/>
  <c r="AA44" i="41"/>
  <c r="AA52" i="41"/>
  <c r="AA24" i="41"/>
  <c r="AA27" i="41"/>
  <c r="AA46" i="41"/>
  <c r="AA28" i="41"/>
  <c r="AN16" i="41"/>
  <c r="BA34" i="41"/>
  <c r="BA21" i="41"/>
  <c r="AN47" i="41"/>
  <c r="BA40" i="41"/>
  <c r="BA48" i="41"/>
  <c r="AN48" i="41"/>
  <c r="AA35" i="41"/>
  <c r="AN32" i="41"/>
  <c r="AA23" i="41"/>
  <c r="AN23" i="41"/>
  <c r="BA52" i="41"/>
  <c r="AA15" i="41"/>
  <c r="AN49" i="41"/>
  <c r="AN28" i="41"/>
  <c r="AN25" i="41"/>
  <c r="AN18" i="41"/>
  <c r="AN17" i="41"/>
  <c r="AN19" i="41"/>
  <c r="AN29" i="41"/>
  <c r="AN21" i="41"/>
  <c r="AU19" i="41"/>
  <c r="AJ19" i="41"/>
  <c r="AN46" i="41"/>
  <c r="BA22" i="41"/>
  <c r="AU29" i="41"/>
  <c r="AN30" i="41"/>
  <c r="AA48" i="41"/>
  <c r="AU32" i="41"/>
  <c r="AJ32" i="41"/>
  <c r="AA30" i="41"/>
  <c r="AA20" i="41"/>
  <c r="AA18" i="41"/>
  <c r="AA37" i="41"/>
  <c r="AA32" i="41"/>
  <c r="AA42" i="41"/>
  <c r="AA34" i="41"/>
  <c r="BA18" i="41"/>
  <c r="BI44" i="41"/>
  <c r="BI22" i="41"/>
  <c r="AN20" i="41"/>
  <c r="AN40" i="41"/>
  <c r="AG11" i="41"/>
  <c r="BA31" i="41"/>
  <c r="AA43" i="41"/>
  <c r="AN42" i="41"/>
  <c r="AJ42" i="41"/>
  <c r="AU42" i="41"/>
  <c r="AJ36" i="41"/>
  <c r="AU36" i="41"/>
  <c r="BI23" i="41"/>
  <c r="AN31" i="41"/>
  <c r="AN36" i="41"/>
  <c r="BI32" i="41"/>
  <c r="AA33" i="41"/>
  <c r="AA21" i="41"/>
  <c r="AA16" i="41"/>
  <c r="AN15" i="41"/>
  <c r="AN37" i="41"/>
  <c r="AN44" i="41"/>
  <c r="AN39" i="41"/>
  <c r="BA30" i="41"/>
  <c r="AA31" i="41"/>
  <c r="AN52" i="41"/>
  <c r="BI41" i="41"/>
  <c r="BA32" i="41"/>
  <c r="BA50" i="41"/>
  <c r="BI14" i="41"/>
  <c r="AA17" i="41"/>
  <c r="BA36" i="41"/>
  <c r="BA37" i="41"/>
  <c r="AN41" i="41"/>
  <c r="BA27" i="41"/>
  <c r="AN26" i="41"/>
  <c r="AN27" i="41"/>
  <c r="AS27" i="41" s="1"/>
  <c r="BA29" i="41"/>
  <c r="BA15" i="41"/>
  <c r="BA38" i="41"/>
  <c r="BI18" i="41"/>
  <c r="BI16" i="41"/>
  <c r="BI21" i="41"/>
  <c r="AJ39" i="41"/>
  <c r="AU39" i="41"/>
  <c r="BA24" i="41"/>
  <c r="AN38" i="41"/>
  <c r="AU38" i="41"/>
  <c r="AJ38" i="41"/>
  <c r="AN53" i="41"/>
  <c r="BA26" i="41"/>
  <c r="AA29" i="41"/>
  <c r="AA36" i="41"/>
  <c r="AA50" i="41"/>
  <c r="BA28" i="41"/>
  <c r="BA41" i="41"/>
  <c r="AA19" i="41"/>
  <c r="AN14" i="41"/>
  <c r="AN45" i="41"/>
  <c r="AN34" i="41"/>
  <c r="AN51" i="41"/>
  <c r="AA26" i="41"/>
  <c r="AN43" i="41"/>
  <c r="AN33" i="41"/>
  <c r="BA44" i="41"/>
  <c r="AA45" i="41"/>
  <c r="BA46" i="41"/>
  <c r="BA51" i="41"/>
  <c r="BA42" i="41"/>
  <c r="AN24" i="41"/>
  <c r="AS24" i="41" s="1"/>
  <c r="AA39" i="41"/>
  <c r="BA25" i="41"/>
  <c r="BI31" i="41"/>
  <c r="BI29" i="41"/>
  <c r="BI26" i="41"/>
  <c r="BI50" i="41"/>
  <c r="BI20" i="41"/>
  <c r="BI30" i="41"/>
  <c r="BI19" i="41"/>
  <c r="BM13" i="41"/>
  <c r="BA47" i="41"/>
  <c r="AA22" i="41"/>
  <c r="BI27" i="41"/>
  <c r="AJ45" i="41"/>
  <c r="AU45" i="41"/>
  <c r="BA33" i="41"/>
  <c r="BA49" i="41"/>
  <c r="BA43" i="41"/>
  <c r="BA35" i="41"/>
  <c r="BA45" i="41"/>
  <c r="AN22" i="41"/>
  <c r="BA23" i="41"/>
  <c r="AA38" i="41"/>
  <c r="BA39" i="41"/>
  <c r="BA53" i="41"/>
  <c r="BI17" i="41"/>
  <c r="BI24" i="41"/>
  <c r="AA14" i="41"/>
  <c r="BC15" i="27"/>
  <c r="BC16" i="27"/>
  <c r="BC17" i="27"/>
  <c r="BC18" i="27"/>
  <c r="BC19" i="27"/>
  <c r="BC20" i="27"/>
  <c r="BC21" i="27"/>
  <c r="BC22" i="27"/>
  <c r="BC23" i="27"/>
  <c r="BC24" i="27"/>
  <c r="BC25" i="27"/>
  <c r="BC26" i="27"/>
  <c r="BC27" i="27"/>
  <c r="BC28" i="27"/>
  <c r="BC29" i="27"/>
  <c r="BC30" i="27"/>
  <c r="BC31" i="27"/>
  <c r="BC32" i="27"/>
  <c r="BC33" i="27"/>
  <c r="BC34" i="27"/>
  <c r="BC35" i="27"/>
  <c r="BC36" i="27"/>
  <c r="BC37" i="27"/>
  <c r="BC38" i="27"/>
  <c r="BC39" i="27"/>
  <c r="BC40" i="27"/>
  <c r="BC41" i="27"/>
  <c r="BC42" i="27"/>
  <c r="BC43" i="27"/>
  <c r="BC44" i="27"/>
  <c r="BC45" i="27"/>
  <c r="BC46" i="27"/>
  <c r="BC47" i="27"/>
  <c r="BC48" i="27"/>
  <c r="BC49" i="27"/>
  <c r="BC50" i="27"/>
  <c r="BC51" i="27"/>
  <c r="BC52" i="27"/>
  <c r="BC53" i="27"/>
  <c r="U15" i="27"/>
  <c r="V15" i="27" s="1"/>
  <c r="U16" i="27"/>
  <c r="V16" i="27" s="1"/>
  <c r="U17" i="27"/>
  <c r="V17" i="27" s="1"/>
  <c r="U18" i="27"/>
  <c r="V18" i="27" s="1"/>
  <c r="U19" i="27"/>
  <c r="V19" i="27" s="1"/>
  <c r="U20" i="27"/>
  <c r="U21" i="27"/>
  <c r="V21" i="27" s="1"/>
  <c r="U22" i="27"/>
  <c r="V22" i="27" s="1"/>
  <c r="U23" i="27"/>
  <c r="V23" i="27" s="1"/>
  <c r="U24" i="27"/>
  <c r="V24" i="27" s="1"/>
  <c r="U25" i="27"/>
  <c r="V25" i="27" s="1"/>
  <c r="U26" i="27"/>
  <c r="V26" i="27" s="1"/>
  <c r="U27" i="27"/>
  <c r="V27" i="27" s="1"/>
  <c r="U28" i="27"/>
  <c r="V28" i="27" s="1"/>
  <c r="U29" i="27"/>
  <c r="V29" i="27" s="1"/>
  <c r="U30" i="27"/>
  <c r="V30" i="27" s="1"/>
  <c r="U31" i="27"/>
  <c r="V31" i="27" s="1"/>
  <c r="U32" i="27"/>
  <c r="V32" i="27" s="1"/>
  <c r="U33" i="27"/>
  <c r="V33" i="27" s="1"/>
  <c r="U34" i="27"/>
  <c r="V34" i="27" s="1"/>
  <c r="U35" i="27"/>
  <c r="V35" i="27" s="1"/>
  <c r="U36" i="27"/>
  <c r="V36" i="27" s="1"/>
  <c r="U37" i="27"/>
  <c r="V37" i="27" s="1"/>
  <c r="U38" i="27"/>
  <c r="V38" i="27" s="1"/>
  <c r="U39" i="27"/>
  <c r="V39" i="27" s="1"/>
  <c r="U40" i="27"/>
  <c r="V40" i="27" s="1"/>
  <c r="U41" i="27"/>
  <c r="V41" i="27" s="1"/>
  <c r="U42" i="27"/>
  <c r="V42" i="27" s="1"/>
  <c r="U43" i="27"/>
  <c r="V43" i="27" s="1"/>
  <c r="U44" i="27"/>
  <c r="V44" i="27" s="1"/>
  <c r="U45" i="27"/>
  <c r="V45" i="27" s="1"/>
  <c r="U46" i="27"/>
  <c r="V46" i="27" s="1"/>
  <c r="U47" i="27"/>
  <c r="V47" i="27" s="1"/>
  <c r="U48" i="27"/>
  <c r="V48" i="27" s="1"/>
  <c r="U49" i="27"/>
  <c r="V49" i="27" s="1"/>
  <c r="U50" i="27"/>
  <c r="V50" i="27" s="1"/>
  <c r="U51" i="27"/>
  <c r="V51" i="27" s="1"/>
  <c r="U52" i="27"/>
  <c r="V52" i="27" s="1"/>
  <c r="U53" i="27"/>
  <c r="V53" i="27" s="1"/>
  <c r="F28" i="28"/>
  <c r="F17" i="28"/>
  <c r="AC15" i="27"/>
  <c r="AD15" i="27" s="1"/>
  <c r="AC16" i="27"/>
  <c r="AD16" i="27" s="1"/>
  <c r="AC17" i="27"/>
  <c r="AD17" i="27" s="1"/>
  <c r="AC18" i="27"/>
  <c r="AD18" i="27" s="1"/>
  <c r="AC19" i="27"/>
  <c r="AD19" i="27" s="1"/>
  <c r="AC20" i="27"/>
  <c r="AD20" i="27" s="1"/>
  <c r="AC21" i="27"/>
  <c r="AD21" i="27" s="1"/>
  <c r="AC22" i="27"/>
  <c r="AD22" i="27" s="1"/>
  <c r="AC23" i="27"/>
  <c r="AD23" i="27" s="1"/>
  <c r="AC24" i="27"/>
  <c r="AD24" i="27" s="1"/>
  <c r="AC25" i="27"/>
  <c r="AD25" i="27" s="1"/>
  <c r="AC26" i="27"/>
  <c r="AD26" i="27" s="1"/>
  <c r="AC27" i="27"/>
  <c r="AD27" i="27" s="1"/>
  <c r="AC28" i="27"/>
  <c r="AD28" i="27" s="1"/>
  <c r="AC29" i="27"/>
  <c r="AD29" i="27" s="1"/>
  <c r="AC30" i="27"/>
  <c r="AD30" i="27" s="1"/>
  <c r="AC31" i="27"/>
  <c r="AD31" i="27" s="1"/>
  <c r="AC32" i="27"/>
  <c r="AD32" i="27" s="1"/>
  <c r="AC33" i="27"/>
  <c r="AD33" i="27" s="1"/>
  <c r="AC34" i="27"/>
  <c r="AD34" i="27" s="1"/>
  <c r="AC35" i="27"/>
  <c r="AD35" i="27" s="1"/>
  <c r="AC36" i="27"/>
  <c r="AD36" i="27" s="1"/>
  <c r="AC37" i="27"/>
  <c r="AD37" i="27" s="1"/>
  <c r="AC38" i="27"/>
  <c r="AD38" i="27" s="1"/>
  <c r="AC39" i="27"/>
  <c r="AD39" i="27" s="1"/>
  <c r="AC40" i="27"/>
  <c r="AD40" i="27" s="1"/>
  <c r="AC41" i="27"/>
  <c r="AD41" i="27" s="1"/>
  <c r="AC42" i="27"/>
  <c r="AD42" i="27" s="1"/>
  <c r="AC43" i="27"/>
  <c r="AD43" i="27" s="1"/>
  <c r="AC44" i="27"/>
  <c r="AD44" i="27" s="1"/>
  <c r="AC45" i="27"/>
  <c r="AD45" i="27" s="1"/>
  <c r="AC46" i="27"/>
  <c r="AD46" i="27" s="1"/>
  <c r="AC47" i="27"/>
  <c r="AD47" i="27" s="1"/>
  <c r="AC48" i="27"/>
  <c r="AD48" i="27" s="1"/>
  <c r="AC49" i="27"/>
  <c r="AD49" i="27" s="1"/>
  <c r="AC50" i="27"/>
  <c r="AD50" i="27" s="1"/>
  <c r="AC51" i="27"/>
  <c r="AD51" i="27" s="1"/>
  <c r="AC52" i="27"/>
  <c r="AD52" i="27" s="1"/>
  <c r="AC53" i="27"/>
  <c r="AD53" i="27" s="1"/>
  <c r="AC14" i="27"/>
  <c r="AD14" i="27" s="1"/>
  <c r="AS25" i="41" l="1"/>
  <c r="AS41" i="41"/>
  <c r="AS53" i="41"/>
  <c r="AV53" i="41" s="1"/>
  <c r="BR53" i="41" s="1"/>
  <c r="AS30" i="41"/>
  <c r="AV30" i="41" s="1"/>
  <c r="BR30" i="41" s="1"/>
  <c r="AS22" i="41"/>
  <c r="AV22" i="41" s="1"/>
  <c r="BR22" i="41" s="1"/>
  <c r="AS17" i="41"/>
  <c r="AS23" i="41"/>
  <c r="AR44" i="41"/>
  <c r="AS44" i="41" s="1"/>
  <c r="AV44" i="41" s="1"/>
  <c r="BR44" i="41" s="1"/>
  <c r="AR15" i="41"/>
  <c r="AS15" i="41" s="1"/>
  <c r="AV15" i="41" s="1"/>
  <c r="BR15" i="41" s="1"/>
  <c r="AR36" i="41"/>
  <c r="AS36" i="41" s="1"/>
  <c r="AV36" i="41" s="1"/>
  <c r="BR36" i="41" s="1"/>
  <c r="AR53" i="41"/>
  <c r="AR25" i="41"/>
  <c r="AR39" i="41"/>
  <c r="AS39" i="41" s="1"/>
  <c r="AV39" i="41" s="1"/>
  <c r="BR39" i="41" s="1"/>
  <c r="AR23" i="41"/>
  <c r="AR18" i="41"/>
  <c r="AS18" i="41" s="1"/>
  <c r="AR20" i="41"/>
  <c r="AS20" i="41" s="1"/>
  <c r="AV20" i="41" s="1"/>
  <c r="BR20" i="41" s="1"/>
  <c r="AR43" i="41"/>
  <c r="AS43" i="41" s="1"/>
  <c r="AV43" i="41" s="1"/>
  <c r="BR43" i="41" s="1"/>
  <c r="AR22" i="41"/>
  <c r="AR26" i="41"/>
  <c r="AS26" i="41" s="1"/>
  <c r="AV26" i="41" s="1"/>
  <c r="BR26" i="41" s="1"/>
  <c r="AR35" i="41"/>
  <c r="AS35" i="41" s="1"/>
  <c r="AV35" i="41" s="1"/>
  <c r="BR35" i="41" s="1"/>
  <c r="AR38" i="41"/>
  <c r="AS38" i="41" s="1"/>
  <c r="AV38" i="41" s="1"/>
  <c r="BR38" i="41" s="1"/>
  <c r="AR49" i="41"/>
  <c r="AS49" i="41" s="1"/>
  <c r="AV49" i="41" s="1"/>
  <c r="BR49" i="41" s="1"/>
  <c r="AR16" i="41"/>
  <c r="AS16" i="41" s="1"/>
  <c r="AV16" i="41" s="1"/>
  <c r="BR16" i="41" s="1"/>
  <c r="AR33" i="41"/>
  <c r="AR51" i="41"/>
  <c r="AR14" i="41"/>
  <c r="AR37" i="41"/>
  <c r="AS37" i="41" s="1"/>
  <c r="AV37" i="41" s="1"/>
  <c r="BR37" i="41" s="1"/>
  <c r="AR42" i="41"/>
  <c r="AR52" i="41"/>
  <c r="AR46" i="41"/>
  <c r="AS46" i="41" s="1"/>
  <c r="AV46" i="41" s="1"/>
  <c r="BR46" i="41" s="1"/>
  <c r="AR50" i="41"/>
  <c r="AS50" i="41" s="1"/>
  <c r="AV50" i="41" s="1"/>
  <c r="BR50" i="41" s="1"/>
  <c r="AR28" i="41"/>
  <c r="AS28" i="41" s="1"/>
  <c r="AV28" i="41" s="1"/>
  <c r="BR28" i="41" s="1"/>
  <c r="AR48" i="41"/>
  <c r="AS48" i="41" s="1"/>
  <c r="AV48" i="41" s="1"/>
  <c r="BR48" i="41" s="1"/>
  <c r="AR31" i="41"/>
  <c r="AS31" i="41" s="1"/>
  <c r="AV31" i="41" s="1"/>
  <c r="BR31" i="41" s="1"/>
  <c r="AR32" i="41"/>
  <c r="AS32" i="41" s="1"/>
  <c r="AV32" i="41" s="1"/>
  <c r="BR32" i="41" s="1"/>
  <c r="AR17" i="41"/>
  <c r="AR34" i="41"/>
  <c r="AS34" i="41" s="1"/>
  <c r="AV34" i="41" s="1"/>
  <c r="BR34" i="41" s="1"/>
  <c r="AR45" i="41"/>
  <c r="AR41" i="41"/>
  <c r="AR19" i="41"/>
  <c r="AS19" i="41" s="1"/>
  <c r="AV19" i="41" s="1"/>
  <c r="BR19" i="41" s="1"/>
  <c r="AR47" i="41"/>
  <c r="AS47" i="41" s="1"/>
  <c r="AV47" i="41" s="1"/>
  <c r="BR47" i="41" s="1"/>
  <c r="AS51" i="41"/>
  <c r="AS52" i="41"/>
  <c r="AV52" i="41" s="1"/>
  <c r="BR52" i="41" s="1"/>
  <c r="AS14" i="41"/>
  <c r="AV14" i="41" s="1"/>
  <c r="BR14" i="41" s="1"/>
  <c r="AS33" i="41"/>
  <c r="AV33" i="41" s="1"/>
  <c r="BR33" i="41" s="1"/>
  <c r="AS45" i="41"/>
  <c r="AV45" i="41" s="1"/>
  <c r="BR45" i="41" s="1"/>
  <c r="AS40" i="41"/>
  <c r="AV40" i="41" s="1"/>
  <c r="BR40" i="41" s="1"/>
  <c r="AS21" i="41"/>
  <c r="AR30" i="41"/>
  <c r="AS29" i="41"/>
  <c r="AV29" i="41" s="1"/>
  <c r="BR29" i="41" s="1"/>
  <c r="AR40" i="41"/>
  <c r="AV17" i="41"/>
  <c r="BR17" i="41" s="1"/>
  <c r="AV27" i="41"/>
  <c r="BR27" i="41" s="1"/>
  <c r="AV41" i="41"/>
  <c r="BR41" i="41" s="1"/>
  <c r="AV23" i="41"/>
  <c r="BR23" i="41" s="1"/>
  <c r="AV24" i="41"/>
  <c r="BR24" i="41" s="1"/>
  <c r="BM33" i="41"/>
  <c r="BN33" i="41" s="1"/>
  <c r="BQ33" i="41" s="1"/>
  <c r="BM42" i="41"/>
  <c r="BN42" i="41" s="1"/>
  <c r="BQ42" i="41" s="1"/>
  <c r="BM36" i="41"/>
  <c r="BN36" i="41" s="1"/>
  <c r="BQ36" i="41" s="1"/>
  <c r="BM16" i="41"/>
  <c r="BN16" i="41" s="1"/>
  <c r="BQ16" i="41" s="1"/>
  <c r="BM35" i="41"/>
  <c r="BN35" i="41" s="1"/>
  <c r="BQ35" i="41" s="1"/>
  <c r="BM34" i="41"/>
  <c r="BN34" i="41" s="1"/>
  <c r="BQ34" i="41" s="1"/>
  <c r="BM24" i="41"/>
  <c r="BN24" i="41" s="1"/>
  <c r="BQ24" i="41" s="1"/>
  <c r="BM48" i="41"/>
  <c r="BN48" i="41" s="1"/>
  <c r="BQ48" i="41" s="1"/>
  <c r="BM22" i="41"/>
  <c r="BN22" i="41" s="1"/>
  <c r="BQ22" i="41" s="1"/>
  <c r="BM38" i="41"/>
  <c r="BN38" i="41" s="1"/>
  <c r="BQ38" i="41" s="1"/>
  <c r="BM40" i="41"/>
  <c r="BN40" i="41" s="1"/>
  <c r="BQ40" i="41" s="1"/>
  <c r="BM39" i="41"/>
  <c r="BN39" i="41" s="1"/>
  <c r="BQ39" i="41" s="1"/>
  <c r="BM52" i="41"/>
  <c r="BN52" i="41" s="1"/>
  <c r="BQ52" i="41" s="1"/>
  <c r="BM25" i="41"/>
  <c r="BN25" i="41" s="1"/>
  <c r="BQ25" i="41" s="1"/>
  <c r="BM18" i="41"/>
  <c r="BN18" i="41" s="1"/>
  <c r="BQ18" i="41" s="1"/>
  <c r="BM46" i="41"/>
  <c r="BN46" i="41" s="1"/>
  <c r="BQ46" i="41" s="1"/>
  <c r="BM29" i="41"/>
  <c r="BN29" i="41" s="1"/>
  <c r="BQ29" i="41" s="1"/>
  <c r="BM19" i="41"/>
  <c r="BN19" i="41" s="1"/>
  <c r="BQ19" i="41" s="1"/>
  <c r="BM30" i="41"/>
  <c r="BN30" i="41" s="1"/>
  <c r="BB11" i="41"/>
  <c r="BM26" i="41"/>
  <c r="BN26" i="41" s="1"/>
  <c r="BQ26" i="41" s="1"/>
  <c r="BM15" i="41"/>
  <c r="BN15" i="41" s="1"/>
  <c r="BQ15" i="41" s="1"/>
  <c r="BM31" i="41"/>
  <c r="BN31" i="41" s="1"/>
  <c r="BQ31" i="41" s="1"/>
  <c r="BM49" i="41"/>
  <c r="BN49" i="41" s="1"/>
  <c r="BQ49" i="41" s="1"/>
  <c r="BM21" i="41"/>
  <c r="BN21" i="41" s="1"/>
  <c r="BQ21" i="41" s="1"/>
  <c r="BM41" i="41"/>
  <c r="BN41" i="41" s="1"/>
  <c r="BQ41" i="41" s="1"/>
  <c r="BM43" i="41"/>
  <c r="BN43" i="41" s="1"/>
  <c r="BQ43" i="41" s="1"/>
  <c r="BM14" i="41"/>
  <c r="BN14" i="41" s="1"/>
  <c r="BQ14" i="41" s="1"/>
  <c r="BM28" i="41"/>
  <c r="BN28" i="41" s="1"/>
  <c r="BQ28" i="41" s="1"/>
  <c r="BM44" i="41"/>
  <c r="BN44" i="41" s="1"/>
  <c r="BQ44" i="41" s="1"/>
  <c r="BM45" i="41"/>
  <c r="BN45" i="41" s="1"/>
  <c r="BM32" i="41"/>
  <c r="BN32" i="41" s="1"/>
  <c r="BQ32" i="41" s="1"/>
  <c r="BM20" i="41"/>
  <c r="BN20" i="41" s="1"/>
  <c r="BQ20" i="41" s="1"/>
  <c r="BM17" i="41"/>
  <c r="BN17" i="41" s="1"/>
  <c r="BQ17" i="41" s="1"/>
  <c r="BM27" i="41"/>
  <c r="BN27" i="41" s="1"/>
  <c r="BQ27" i="41" s="1"/>
  <c r="BM23" i="41"/>
  <c r="BN23" i="41" s="1"/>
  <c r="BQ23" i="41" s="1"/>
  <c r="BM50" i="41"/>
  <c r="BN50" i="41" s="1"/>
  <c r="BQ50" i="41" s="1"/>
  <c r="BM51" i="41"/>
  <c r="BN51" i="41" s="1"/>
  <c r="BQ51" i="41" s="1"/>
  <c r="BM47" i="41"/>
  <c r="BN47" i="41" s="1"/>
  <c r="BQ47" i="41" s="1"/>
  <c r="BM53" i="41"/>
  <c r="BN53" i="41" s="1"/>
  <c r="BQ53" i="41" s="1"/>
  <c r="BM37" i="41"/>
  <c r="BN37" i="41" s="1"/>
  <c r="BQ37" i="41" s="1"/>
  <c r="BQ30" i="41"/>
  <c r="AV51" i="41"/>
  <c r="BR51" i="41" s="1"/>
  <c r="AV25" i="41"/>
  <c r="BR25" i="41" s="1"/>
  <c r="BQ45" i="41"/>
  <c r="AS42" i="41"/>
  <c r="AV42" i="41" s="1"/>
  <c r="BR42" i="41" s="1"/>
  <c r="AV18" i="41"/>
  <c r="BR18" i="41" s="1"/>
  <c r="AV21" i="41"/>
  <c r="BR21" i="41" s="1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14" i="27"/>
  <c r="AH14" i="27"/>
  <c r="AI14" i="27" s="1"/>
  <c r="AP15" i="27"/>
  <c r="AQ15" i="27" s="1"/>
  <c r="AP16" i="27"/>
  <c r="AQ16" i="27" s="1"/>
  <c r="AP17" i="27"/>
  <c r="AQ17" i="27" s="1"/>
  <c r="AP18" i="27"/>
  <c r="AP19" i="27"/>
  <c r="AQ19" i="27" s="1"/>
  <c r="AP20" i="27"/>
  <c r="AQ20" i="27" s="1"/>
  <c r="AP21" i="27"/>
  <c r="AQ21" i="27" s="1"/>
  <c r="AP22" i="27"/>
  <c r="AP23" i="27"/>
  <c r="AQ23" i="27" s="1"/>
  <c r="AP24" i="27"/>
  <c r="AP25" i="27"/>
  <c r="AP26" i="27"/>
  <c r="AQ26" i="27" s="1"/>
  <c r="AP27" i="27"/>
  <c r="AQ27" i="27" s="1"/>
  <c r="AP28" i="27"/>
  <c r="AP29" i="27"/>
  <c r="AP30" i="27"/>
  <c r="AP31" i="27"/>
  <c r="AP32" i="27"/>
  <c r="AP33" i="27"/>
  <c r="AQ33" i="27" s="1"/>
  <c r="AP34" i="27"/>
  <c r="AP35" i="27"/>
  <c r="AP36" i="27"/>
  <c r="AP37" i="27"/>
  <c r="AP38" i="27"/>
  <c r="AP39" i="27"/>
  <c r="AP40" i="27"/>
  <c r="AP41" i="27"/>
  <c r="AP42" i="27"/>
  <c r="AP43" i="27"/>
  <c r="AP44" i="27"/>
  <c r="AP45" i="27"/>
  <c r="AQ45" i="27" s="1"/>
  <c r="AP46" i="27"/>
  <c r="AP47" i="27"/>
  <c r="AP48" i="27"/>
  <c r="AP49" i="27"/>
  <c r="AP50" i="27"/>
  <c r="AQ50" i="27" s="1"/>
  <c r="AP51" i="27"/>
  <c r="AQ51" i="27" s="1"/>
  <c r="AP52" i="27"/>
  <c r="AP53" i="27"/>
  <c r="AP14" i="27"/>
  <c r="AQ14" i="27" s="1"/>
  <c r="AL15" i="27"/>
  <c r="AM15" i="27" s="1"/>
  <c r="AL16" i="27"/>
  <c r="AM16" i="27" s="1"/>
  <c r="AL17" i="27"/>
  <c r="AM17" i="27" s="1"/>
  <c r="AL18" i="27"/>
  <c r="AM18" i="27" s="1"/>
  <c r="AL19" i="27"/>
  <c r="AM19" i="27" s="1"/>
  <c r="AL20" i="27"/>
  <c r="AM20" i="27" s="1"/>
  <c r="AL21" i="27"/>
  <c r="AM21" i="27" s="1"/>
  <c r="AL22" i="27"/>
  <c r="AM22" i="27" s="1"/>
  <c r="AL23" i="27"/>
  <c r="AM23" i="27" s="1"/>
  <c r="AL24" i="27"/>
  <c r="AM24" i="27" s="1"/>
  <c r="AL25" i="27"/>
  <c r="AM25" i="27" s="1"/>
  <c r="AL26" i="27"/>
  <c r="AM26" i="27" s="1"/>
  <c r="AL27" i="27"/>
  <c r="AM27" i="27" s="1"/>
  <c r="AL28" i="27"/>
  <c r="AM28" i="27" s="1"/>
  <c r="AL29" i="27"/>
  <c r="AM29" i="27" s="1"/>
  <c r="AL30" i="27"/>
  <c r="AM30" i="27" s="1"/>
  <c r="AL31" i="27"/>
  <c r="AM31" i="27" s="1"/>
  <c r="AL32" i="27"/>
  <c r="AM32" i="27" s="1"/>
  <c r="AL33" i="27"/>
  <c r="AM33" i="27" s="1"/>
  <c r="AL34" i="27"/>
  <c r="AM34" i="27" s="1"/>
  <c r="AL35" i="27"/>
  <c r="AM35" i="27" s="1"/>
  <c r="AL36" i="27"/>
  <c r="AM36" i="27" s="1"/>
  <c r="AL37" i="27"/>
  <c r="AM37" i="27" s="1"/>
  <c r="AL38" i="27"/>
  <c r="AM38" i="27" s="1"/>
  <c r="AL39" i="27"/>
  <c r="AM39" i="27" s="1"/>
  <c r="AL40" i="27"/>
  <c r="AM40" i="27" s="1"/>
  <c r="AL41" i="27"/>
  <c r="AM41" i="27" s="1"/>
  <c r="AL42" i="27"/>
  <c r="AM42" i="27" s="1"/>
  <c r="AL43" i="27"/>
  <c r="AM43" i="27" s="1"/>
  <c r="AL44" i="27"/>
  <c r="AM44" i="27" s="1"/>
  <c r="AL45" i="27"/>
  <c r="AM45" i="27" s="1"/>
  <c r="AL46" i="27"/>
  <c r="AM46" i="27" s="1"/>
  <c r="AL47" i="27"/>
  <c r="AM47" i="27" s="1"/>
  <c r="AL48" i="27"/>
  <c r="AM48" i="27" s="1"/>
  <c r="AL49" i="27"/>
  <c r="AM49" i="27" s="1"/>
  <c r="AL50" i="27"/>
  <c r="AM50" i="27" s="1"/>
  <c r="AL51" i="27"/>
  <c r="AM51" i="27" s="1"/>
  <c r="AL52" i="27"/>
  <c r="AM52" i="27" s="1"/>
  <c r="AL53" i="27"/>
  <c r="AM53" i="27" s="1"/>
  <c r="AL14" i="27"/>
  <c r="AM14" i="27" s="1"/>
  <c r="AH15" i="27"/>
  <c r="AI15" i="27" s="1"/>
  <c r="AH16" i="27"/>
  <c r="AH17" i="27"/>
  <c r="AI17" i="27" s="1"/>
  <c r="AH18" i="27"/>
  <c r="AI18" i="27" s="1"/>
  <c r="AH19" i="27"/>
  <c r="AI19" i="27" s="1"/>
  <c r="AH20" i="27"/>
  <c r="AI20" i="27" s="1"/>
  <c r="AJ20" i="27" s="1"/>
  <c r="AH21" i="27"/>
  <c r="AI21" i="27" s="1"/>
  <c r="AJ21" i="27" s="1"/>
  <c r="AH22" i="27"/>
  <c r="AI22" i="27" s="1"/>
  <c r="AH23" i="27"/>
  <c r="AI23" i="27" s="1"/>
  <c r="AH24" i="27"/>
  <c r="AI24" i="27" s="1"/>
  <c r="AH25" i="27"/>
  <c r="AI25" i="27" s="1"/>
  <c r="AH26" i="27"/>
  <c r="AI26" i="27" s="1"/>
  <c r="AH27" i="27"/>
  <c r="AI27" i="27" s="1"/>
  <c r="AH28" i="27"/>
  <c r="AH29" i="27"/>
  <c r="AI29" i="27" s="1"/>
  <c r="AH30" i="27"/>
  <c r="AH31" i="27"/>
  <c r="AI31" i="27" s="1"/>
  <c r="AH32" i="27"/>
  <c r="AI32" i="27" s="1"/>
  <c r="AH33" i="27"/>
  <c r="AI33" i="27" s="1"/>
  <c r="AH34" i="27"/>
  <c r="AI34" i="27" s="1"/>
  <c r="AH35" i="27"/>
  <c r="AI35" i="27" s="1"/>
  <c r="AH36" i="27"/>
  <c r="AH37" i="27"/>
  <c r="AI37" i="27" s="1"/>
  <c r="AH38" i="27"/>
  <c r="AI38" i="27" s="1"/>
  <c r="AH39" i="27"/>
  <c r="AH40" i="27"/>
  <c r="AH41" i="27"/>
  <c r="AI41" i="27" s="1"/>
  <c r="AH42" i="27"/>
  <c r="AI42" i="27" s="1"/>
  <c r="AJ42" i="27" s="1"/>
  <c r="AH43" i="27"/>
  <c r="AI43" i="27" s="1"/>
  <c r="AH44" i="27"/>
  <c r="AI44" i="27" s="1"/>
  <c r="AH45" i="27"/>
  <c r="AH46" i="27"/>
  <c r="AI46" i="27" s="1"/>
  <c r="AH47" i="27"/>
  <c r="AI47" i="27" s="1"/>
  <c r="AH48" i="27"/>
  <c r="AH49" i="27"/>
  <c r="AI49" i="27" s="1"/>
  <c r="AH50" i="27"/>
  <c r="AI50" i="27" s="1"/>
  <c r="AH51" i="27"/>
  <c r="AH52" i="27"/>
  <c r="AH53" i="27"/>
  <c r="AI53" i="27" s="1"/>
  <c r="P24" i="27"/>
  <c r="Y24" i="27"/>
  <c r="Z24" i="27" s="1"/>
  <c r="AY24" i="27"/>
  <c r="BD24" i="27"/>
  <c r="BG24" i="27"/>
  <c r="BH24" i="27" s="1"/>
  <c r="BK24" i="27"/>
  <c r="BL24" i="27" s="1"/>
  <c r="P25" i="27"/>
  <c r="Y25" i="27"/>
  <c r="Z25" i="27" s="1"/>
  <c r="AY25" i="27"/>
  <c r="BD25" i="27"/>
  <c r="BG25" i="27"/>
  <c r="BH25" i="27" s="1"/>
  <c r="BK25" i="27"/>
  <c r="BL25" i="27" s="1"/>
  <c r="P26" i="27"/>
  <c r="Y26" i="27"/>
  <c r="Z26" i="27" s="1"/>
  <c r="AY26" i="27"/>
  <c r="BD26" i="27"/>
  <c r="BG26" i="27"/>
  <c r="BH26" i="27" s="1"/>
  <c r="BK26" i="27"/>
  <c r="BL26" i="27" s="1"/>
  <c r="P27" i="27"/>
  <c r="Y27" i="27"/>
  <c r="Z27" i="27" s="1"/>
  <c r="AY27" i="27"/>
  <c r="BD27" i="27"/>
  <c r="BG27" i="27"/>
  <c r="BH27" i="27" s="1"/>
  <c r="BK27" i="27"/>
  <c r="BL27" i="27" s="1"/>
  <c r="P28" i="27"/>
  <c r="Y28" i="27"/>
  <c r="Z28" i="27" s="1"/>
  <c r="AY28" i="27"/>
  <c r="BD28" i="27"/>
  <c r="BG28" i="27"/>
  <c r="BH28" i="27" s="1"/>
  <c r="BK28" i="27"/>
  <c r="BL28" i="27" s="1"/>
  <c r="P29" i="27"/>
  <c r="Y29" i="27"/>
  <c r="Z29" i="27" s="1"/>
  <c r="AY29" i="27"/>
  <c r="BD29" i="27"/>
  <c r="BG29" i="27"/>
  <c r="BH29" i="27" s="1"/>
  <c r="BK29" i="27"/>
  <c r="BL29" i="27" s="1"/>
  <c r="P30" i="27"/>
  <c r="Y30" i="27"/>
  <c r="Z30" i="27" s="1"/>
  <c r="AY30" i="27"/>
  <c r="BD30" i="27"/>
  <c r="BG30" i="27"/>
  <c r="BH30" i="27" s="1"/>
  <c r="BK30" i="27"/>
  <c r="BL30" i="27" s="1"/>
  <c r="P31" i="27"/>
  <c r="Y31" i="27"/>
  <c r="Z31" i="27" s="1"/>
  <c r="AY31" i="27"/>
  <c r="BD31" i="27"/>
  <c r="BG31" i="27"/>
  <c r="BH31" i="27" s="1"/>
  <c r="BK31" i="27"/>
  <c r="BL31" i="27" s="1"/>
  <c r="P32" i="27"/>
  <c r="Y32" i="27"/>
  <c r="Z32" i="27" s="1"/>
  <c r="AY32" i="27"/>
  <c r="BD32" i="27"/>
  <c r="BG32" i="27"/>
  <c r="BH32" i="27" s="1"/>
  <c r="BK32" i="27"/>
  <c r="BL32" i="27" s="1"/>
  <c r="P33" i="27"/>
  <c r="Y33" i="27"/>
  <c r="Z33" i="27" s="1"/>
  <c r="AY33" i="27"/>
  <c r="BD33" i="27"/>
  <c r="BG33" i="27"/>
  <c r="BH33" i="27" s="1"/>
  <c r="BK33" i="27"/>
  <c r="BL33" i="27" s="1"/>
  <c r="P34" i="27"/>
  <c r="Y34" i="27"/>
  <c r="Z34" i="27" s="1"/>
  <c r="AY34" i="27"/>
  <c r="BD34" i="27"/>
  <c r="BG34" i="27"/>
  <c r="BH34" i="27" s="1"/>
  <c r="BK34" i="27"/>
  <c r="BL34" i="27" s="1"/>
  <c r="P35" i="27"/>
  <c r="Y35" i="27"/>
  <c r="Z35" i="27" s="1"/>
  <c r="AY35" i="27"/>
  <c r="BD35" i="27"/>
  <c r="BG35" i="27"/>
  <c r="BH35" i="27" s="1"/>
  <c r="BK35" i="27"/>
  <c r="BL35" i="27" s="1"/>
  <c r="P36" i="27"/>
  <c r="Y36" i="27"/>
  <c r="Z36" i="27" s="1"/>
  <c r="AY36" i="27"/>
  <c r="BD36" i="27"/>
  <c r="BG36" i="27"/>
  <c r="BH36" i="27" s="1"/>
  <c r="BK36" i="27"/>
  <c r="BL36" i="27" s="1"/>
  <c r="P37" i="27"/>
  <c r="Y37" i="27"/>
  <c r="Z37" i="27" s="1"/>
  <c r="AY37" i="27"/>
  <c r="BD37" i="27"/>
  <c r="BG37" i="27"/>
  <c r="BH37" i="27" s="1"/>
  <c r="BK37" i="27"/>
  <c r="BL37" i="27" s="1"/>
  <c r="P38" i="27"/>
  <c r="Y38" i="27"/>
  <c r="Z38" i="27" s="1"/>
  <c r="AY38" i="27"/>
  <c r="BD38" i="27"/>
  <c r="BG38" i="27"/>
  <c r="BH38" i="27" s="1"/>
  <c r="BK38" i="27"/>
  <c r="BL38" i="27" s="1"/>
  <c r="P39" i="27"/>
  <c r="Y39" i="27"/>
  <c r="Z39" i="27" s="1"/>
  <c r="AY39" i="27"/>
  <c r="BD39" i="27"/>
  <c r="BG39" i="27"/>
  <c r="BH39" i="27" s="1"/>
  <c r="BK39" i="27"/>
  <c r="BL39" i="27" s="1"/>
  <c r="P40" i="27"/>
  <c r="Y40" i="27"/>
  <c r="Z40" i="27" s="1"/>
  <c r="AY40" i="27"/>
  <c r="BD40" i="27"/>
  <c r="BG40" i="27"/>
  <c r="BH40" i="27" s="1"/>
  <c r="BK40" i="27"/>
  <c r="BL40" i="27" s="1"/>
  <c r="P41" i="27"/>
  <c r="Y41" i="27"/>
  <c r="Z41" i="27" s="1"/>
  <c r="AY41" i="27"/>
  <c r="BD41" i="27"/>
  <c r="BG41" i="27"/>
  <c r="BH41" i="27" s="1"/>
  <c r="BK41" i="27"/>
  <c r="BL41" i="27" s="1"/>
  <c r="P42" i="27"/>
  <c r="Y42" i="27"/>
  <c r="Z42" i="27" s="1"/>
  <c r="AY42" i="27"/>
  <c r="BD42" i="27"/>
  <c r="BG42" i="27"/>
  <c r="BH42" i="27" s="1"/>
  <c r="BK42" i="27"/>
  <c r="BL42" i="27" s="1"/>
  <c r="P43" i="27"/>
  <c r="Q43" i="27" s="1"/>
  <c r="R43" i="27" s="1"/>
  <c r="S43" i="27" s="1"/>
  <c r="Y43" i="27"/>
  <c r="Z43" i="27" s="1"/>
  <c r="AY43" i="27"/>
  <c r="BD43" i="27"/>
  <c r="BG43" i="27"/>
  <c r="BH43" i="27" s="1"/>
  <c r="BK43" i="27"/>
  <c r="BL43" i="27" s="1"/>
  <c r="P44" i="27"/>
  <c r="Y44" i="27"/>
  <c r="Z44" i="27" s="1"/>
  <c r="AY44" i="27"/>
  <c r="BD44" i="27"/>
  <c r="BG44" i="27"/>
  <c r="BH44" i="27" s="1"/>
  <c r="BK44" i="27"/>
  <c r="BL44" i="27" s="1"/>
  <c r="P45" i="27"/>
  <c r="Y45" i="27"/>
  <c r="Z45" i="27" s="1"/>
  <c r="AY45" i="27"/>
  <c r="BD45" i="27"/>
  <c r="BG45" i="27"/>
  <c r="BH45" i="27" s="1"/>
  <c r="BK45" i="27"/>
  <c r="BL45" i="27" s="1"/>
  <c r="P46" i="27"/>
  <c r="Y46" i="27"/>
  <c r="Z46" i="27" s="1"/>
  <c r="AY46" i="27"/>
  <c r="BD46" i="27"/>
  <c r="BG46" i="27"/>
  <c r="BH46" i="27" s="1"/>
  <c r="BK46" i="27"/>
  <c r="BL46" i="27" s="1"/>
  <c r="P47" i="27"/>
  <c r="Y47" i="27"/>
  <c r="Z47" i="27" s="1"/>
  <c r="AY47" i="27"/>
  <c r="BD47" i="27"/>
  <c r="BG47" i="27"/>
  <c r="BH47" i="27" s="1"/>
  <c r="BK47" i="27"/>
  <c r="BL47" i="27" s="1"/>
  <c r="P48" i="27"/>
  <c r="Y48" i="27"/>
  <c r="Z48" i="27" s="1"/>
  <c r="AY48" i="27"/>
  <c r="BD48" i="27"/>
  <c r="BG48" i="27"/>
  <c r="BH48" i="27" s="1"/>
  <c r="BK48" i="27"/>
  <c r="BL48" i="27" s="1"/>
  <c r="P49" i="27"/>
  <c r="Y49" i="27"/>
  <c r="Z49" i="27" s="1"/>
  <c r="AY49" i="27"/>
  <c r="BD49" i="27"/>
  <c r="BG49" i="27"/>
  <c r="BH49" i="27" s="1"/>
  <c r="BK49" i="27"/>
  <c r="BL49" i="27" s="1"/>
  <c r="P50" i="27"/>
  <c r="Y50" i="27"/>
  <c r="Z50" i="27" s="1"/>
  <c r="AY50" i="27"/>
  <c r="BD50" i="27"/>
  <c r="BG50" i="27"/>
  <c r="BH50" i="27" s="1"/>
  <c r="BK50" i="27"/>
  <c r="BL50" i="27" s="1"/>
  <c r="P51" i="27"/>
  <c r="Y51" i="27"/>
  <c r="Z51" i="27" s="1"/>
  <c r="AY51" i="27"/>
  <c r="BD51" i="27"/>
  <c r="BG51" i="27"/>
  <c r="BH51" i="27" s="1"/>
  <c r="BK51" i="27"/>
  <c r="BL51" i="27" s="1"/>
  <c r="P52" i="27"/>
  <c r="Y52" i="27"/>
  <c r="Z52" i="27" s="1"/>
  <c r="AY52" i="27"/>
  <c r="BD52" i="27"/>
  <c r="BG52" i="27"/>
  <c r="BH52" i="27" s="1"/>
  <c r="BK52" i="27"/>
  <c r="BL52" i="27" s="1"/>
  <c r="P53" i="27"/>
  <c r="Y53" i="27"/>
  <c r="Z53" i="27" s="1"/>
  <c r="AY53" i="27"/>
  <c r="BD53" i="27"/>
  <c r="BG53" i="27"/>
  <c r="BH53" i="27" s="1"/>
  <c r="BK53" i="27"/>
  <c r="BL53" i="27" s="1"/>
  <c r="F24" i="27"/>
  <c r="G24" i="27" s="1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F32" i="27"/>
  <c r="G32" i="27" s="1"/>
  <c r="F33" i="27"/>
  <c r="G33" i="27" s="1"/>
  <c r="F34" i="27"/>
  <c r="G34" i="27" s="1"/>
  <c r="F35" i="27"/>
  <c r="G35" i="27" s="1"/>
  <c r="F36" i="27"/>
  <c r="G36" i="27" s="1"/>
  <c r="F37" i="27"/>
  <c r="G37" i="27" s="1"/>
  <c r="F38" i="27"/>
  <c r="G38" i="27" s="1"/>
  <c r="F39" i="27"/>
  <c r="G39" i="27" s="1"/>
  <c r="F40" i="27"/>
  <c r="G40" i="27" s="1"/>
  <c r="F41" i="27"/>
  <c r="G41" i="27" s="1"/>
  <c r="F42" i="27"/>
  <c r="G42" i="27" s="1"/>
  <c r="F43" i="27"/>
  <c r="G43" i="27" s="1"/>
  <c r="F44" i="27"/>
  <c r="G44" i="27" s="1"/>
  <c r="F45" i="27"/>
  <c r="G45" i="27" s="1"/>
  <c r="F46" i="27"/>
  <c r="G46" i="27" s="1"/>
  <c r="F47" i="27"/>
  <c r="G47" i="27" s="1"/>
  <c r="F48" i="27"/>
  <c r="G48" i="27" s="1"/>
  <c r="F49" i="27"/>
  <c r="G49" i="27" s="1"/>
  <c r="F50" i="27"/>
  <c r="G50" i="27" s="1"/>
  <c r="F51" i="27"/>
  <c r="G51" i="27" s="1"/>
  <c r="F52" i="27"/>
  <c r="G52" i="27" s="1"/>
  <c r="F53" i="27"/>
  <c r="G53" i="27" s="1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BE13" i="27"/>
  <c r="BK23" i="27"/>
  <c r="BL23" i="27" s="1"/>
  <c r="BG23" i="27"/>
  <c r="BH23" i="27" s="1"/>
  <c r="BD23" i="27"/>
  <c r="BK22" i="27"/>
  <c r="BL22" i="27" s="1"/>
  <c r="BG22" i="27"/>
  <c r="BH22" i="27" s="1"/>
  <c r="BD22" i="27"/>
  <c r="BK21" i="27"/>
  <c r="BL21" i="27" s="1"/>
  <c r="BG21" i="27"/>
  <c r="BH21" i="27" s="1"/>
  <c r="BD21" i="27"/>
  <c r="BK20" i="27"/>
  <c r="BL20" i="27" s="1"/>
  <c r="BG20" i="27"/>
  <c r="BH20" i="27" s="1"/>
  <c r="BD20" i="27"/>
  <c r="BK19" i="27"/>
  <c r="BL19" i="27" s="1"/>
  <c r="BG19" i="27"/>
  <c r="BH19" i="27" s="1"/>
  <c r="BD19" i="27"/>
  <c r="BK18" i="27"/>
  <c r="BL18" i="27" s="1"/>
  <c r="BG18" i="27"/>
  <c r="BH18" i="27" s="1"/>
  <c r="BD18" i="27"/>
  <c r="BK17" i="27"/>
  <c r="BL17" i="27" s="1"/>
  <c r="BG17" i="27"/>
  <c r="BH17" i="27" s="1"/>
  <c r="BD17" i="27"/>
  <c r="BK16" i="27"/>
  <c r="BL16" i="27" s="1"/>
  <c r="BG16" i="27"/>
  <c r="BH16" i="27" s="1"/>
  <c r="BD16" i="27"/>
  <c r="BK15" i="27"/>
  <c r="BL15" i="27" s="1"/>
  <c r="BG15" i="27"/>
  <c r="BH15" i="27" s="1"/>
  <c r="BD15" i="27"/>
  <c r="BK14" i="27"/>
  <c r="BL14" i="27" s="1"/>
  <c r="BG14" i="27"/>
  <c r="BH14" i="27" s="1"/>
  <c r="BC14" i="27"/>
  <c r="BD14" i="27" s="1"/>
  <c r="H10" i="27"/>
  <c r="Y15" i="27"/>
  <c r="Z15" i="27" s="1"/>
  <c r="Y16" i="27"/>
  <c r="Z16" i="27" s="1"/>
  <c r="Y17" i="27"/>
  <c r="Z17" i="27" s="1"/>
  <c r="Y18" i="27"/>
  <c r="Z18" i="27" s="1"/>
  <c r="Y19" i="27"/>
  <c r="Z19" i="27" s="1"/>
  <c r="Y20" i="27"/>
  <c r="Z20" i="27" s="1"/>
  <c r="Y21" i="27"/>
  <c r="Z21" i="27" s="1"/>
  <c r="Y22" i="27"/>
  <c r="Z22" i="27" s="1"/>
  <c r="Y23" i="27"/>
  <c r="Z23" i="27" s="1"/>
  <c r="Y14" i="27"/>
  <c r="Z14" i="27" s="1"/>
  <c r="U14" i="27"/>
  <c r="V14" i="27" s="1"/>
  <c r="V20" i="27"/>
  <c r="BS41" i="41" l="1"/>
  <c r="BT41" i="41"/>
  <c r="BS44" i="41"/>
  <c r="BT44" i="41"/>
  <c r="BT14" i="41"/>
  <c r="BS14" i="41"/>
  <c r="BT49" i="41"/>
  <c r="BS49" i="41"/>
  <c r="BT27" i="41"/>
  <c r="BS27" i="41"/>
  <c r="BS31" i="41"/>
  <c r="BT31" i="41"/>
  <c r="BT50" i="41"/>
  <c r="BS50" i="41"/>
  <c r="BS38" i="41"/>
  <c r="BT38" i="41"/>
  <c r="BS45" i="41"/>
  <c r="BT45" i="41"/>
  <c r="BT30" i="41"/>
  <c r="BS30" i="41"/>
  <c r="BT48" i="41"/>
  <c r="BS48" i="41"/>
  <c r="BT20" i="41"/>
  <c r="BS20" i="41"/>
  <c r="BT17" i="41"/>
  <c r="BS17" i="41"/>
  <c r="BT29" i="41"/>
  <c r="BS29" i="41"/>
  <c r="BT46" i="41"/>
  <c r="BS46" i="41"/>
  <c r="BT47" i="41"/>
  <c r="BS47" i="41"/>
  <c r="BT22" i="41"/>
  <c r="BS22" i="41"/>
  <c r="BS34" i="41"/>
  <c r="BT34" i="41"/>
  <c r="BT39" i="41"/>
  <c r="BS39" i="41"/>
  <c r="BT23" i="41"/>
  <c r="BS23" i="41"/>
  <c r="BT19" i="41"/>
  <c r="BS19" i="41"/>
  <c r="BT25" i="41"/>
  <c r="BS25" i="41"/>
  <c r="BO36" i="27"/>
  <c r="BO53" i="27"/>
  <c r="BO41" i="27"/>
  <c r="BO29" i="27"/>
  <c r="BO24" i="27"/>
  <c r="BO28" i="27"/>
  <c r="BO48" i="27"/>
  <c r="BO46" i="27"/>
  <c r="BO34" i="27"/>
  <c r="BO52" i="27"/>
  <c r="BO40" i="27"/>
  <c r="BO39" i="27"/>
  <c r="BO44" i="27"/>
  <c r="BO32" i="27"/>
  <c r="BO51" i="27"/>
  <c r="BO27" i="27"/>
  <c r="BO49" i="27"/>
  <c r="BO37" i="27"/>
  <c r="BO33" i="27"/>
  <c r="BO42" i="27"/>
  <c r="BO30" i="27"/>
  <c r="BO25" i="27"/>
  <c r="BO47" i="27"/>
  <c r="BO35" i="27"/>
  <c r="Q27" i="27"/>
  <c r="R27" i="27" s="1"/>
  <c r="S27" i="27" s="1"/>
  <c r="BO45" i="27"/>
  <c r="BO50" i="27"/>
  <c r="BO38" i="27"/>
  <c r="BO43" i="27"/>
  <c r="BO31" i="27"/>
  <c r="BO26" i="27"/>
  <c r="Q47" i="27"/>
  <c r="R47" i="27" s="1"/>
  <c r="S47" i="27" s="1"/>
  <c r="Q35" i="27"/>
  <c r="R35" i="27" s="1"/>
  <c r="S35" i="27" s="1"/>
  <c r="Q36" i="27"/>
  <c r="R36" i="27" s="1"/>
  <c r="S36" i="27" s="1"/>
  <c r="Q33" i="27"/>
  <c r="R33" i="27" s="1"/>
  <c r="S33" i="27" s="1"/>
  <c r="Q44" i="27"/>
  <c r="R44" i="27" s="1"/>
  <c r="S44" i="27" s="1"/>
  <c r="Q32" i="27"/>
  <c r="R32" i="27" s="1"/>
  <c r="S32" i="27" s="1"/>
  <c r="Q52" i="27"/>
  <c r="R52" i="27" s="1"/>
  <c r="S52" i="27" s="1"/>
  <c r="Q45" i="27"/>
  <c r="R45" i="27" s="1"/>
  <c r="S45" i="27" s="1"/>
  <c r="Q46" i="27"/>
  <c r="R46" i="27" s="1"/>
  <c r="S46" i="27" s="1"/>
  <c r="Q51" i="27"/>
  <c r="R51" i="27" s="1"/>
  <c r="S51" i="27" s="1"/>
  <c r="Q39" i="27"/>
  <c r="R39" i="27" s="1"/>
  <c r="S39" i="27" s="1"/>
  <c r="AJ37" i="27"/>
  <c r="AJ53" i="27"/>
  <c r="AJ41" i="27"/>
  <c r="AJ19" i="27"/>
  <c r="AJ49" i="27"/>
  <c r="AJ32" i="27"/>
  <c r="AN13" i="27"/>
  <c r="AN26" i="27" s="1"/>
  <c r="AJ43" i="27"/>
  <c r="AQ49" i="27"/>
  <c r="AQ37" i="27"/>
  <c r="AQ25" i="27"/>
  <c r="AQ48" i="27"/>
  <c r="AQ36" i="27"/>
  <c r="AQ24" i="27"/>
  <c r="AQ47" i="27"/>
  <c r="AQ35" i="27"/>
  <c r="AQ38" i="27"/>
  <c r="AQ46" i="27"/>
  <c r="AQ34" i="27"/>
  <c r="AQ22" i="27"/>
  <c r="AU22" i="27" s="1"/>
  <c r="AQ44" i="27"/>
  <c r="AQ32" i="27"/>
  <c r="AQ43" i="27"/>
  <c r="AQ31" i="27"/>
  <c r="AQ42" i="27"/>
  <c r="AQ30" i="27"/>
  <c r="AQ18" i="27"/>
  <c r="AQ53" i="27"/>
  <c r="AQ41" i="27"/>
  <c r="AQ29" i="27"/>
  <c r="AQ52" i="27"/>
  <c r="AQ40" i="27"/>
  <c r="AQ28" i="27"/>
  <c r="AQ39" i="27"/>
  <c r="AI40" i="27"/>
  <c r="AJ40" i="27" s="1"/>
  <c r="AI30" i="27"/>
  <c r="AJ30" i="27" s="1"/>
  <c r="AI52" i="27"/>
  <c r="AJ52" i="27" s="1"/>
  <c r="AI39" i="27"/>
  <c r="AJ39" i="27" s="1"/>
  <c r="AI48" i="27"/>
  <c r="AJ48" i="27" s="1"/>
  <c r="AI36" i="27"/>
  <c r="AJ36" i="27" s="1"/>
  <c r="AI16" i="27"/>
  <c r="AJ16" i="27" s="1"/>
  <c r="AI51" i="27"/>
  <c r="AJ51" i="27" s="1"/>
  <c r="AI28" i="27"/>
  <c r="AJ28" i="27" s="1"/>
  <c r="AI45" i="27"/>
  <c r="AJ45" i="27" s="1"/>
  <c r="BE16" i="27"/>
  <c r="BE20" i="27"/>
  <c r="AJ15" i="27"/>
  <c r="Q38" i="27"/>
  <c r="R38" i="27" s="1"/>
  <c r="S38" i="27" s="1"/>
  <c r="Q48" i="27"/>
  <c r="R48" i="27" s="1"/>
  <c r="S48" i="27" s="1"/>
  <c r="AN19" i="27"/>
  <c r="Q53" i="27"/>
  <c r="R53" i="27" s="1"/>
  <c r="S53" i="27" s="1"/>
  <c r="Q29" i="27"/>
  <c r="R29" i="27" s="1"/>
  <c r="S29" i="27" s="1"/>
  <c r="Q50" i="27"/>
  <c r="R50" i="27" s="1"/>
  <c r="S50" i="27" s="1"/>
  <c r="Q41" i="27"/>
  <c r="R41" i="27" s="1"/>
  <c r="S41" i="27" s="1"/>
  <c r="Q42" i="27"/>
  <c r="R42" i="27" s="1"/>
  <c r="S42" i="27" s="1"/>
  <c r="AJ50" i="27"/>
  <c r="AJ38" i="27"/>
  <c r="AJ26" i="27"/>
  <c r="Q40" i="27"/>
  <c r="R40" i="27" s="1"/>
  <c r="S40" i="27" s="1"/>
  <c r="Q30" i="27"/>
  <c r="R30" i="27" s="1"/>
  <c r="S30" i="27" s="1"/>
  <c r="AJ47" i="27"/>
  <c r="AJ35" i="27"/>
  <c r="AJ46" i="27"/>
  <c r="AJ25" i="27"/>
  <c r="Q49" i="27"/>
  <c r="R49" i="27" s="1"/>
  <c r="S49" i="27" s="1"/>
  <c r="Q37" i="27"/>
  <c r="R37" i="27" s="1"/>
  <c r="S37" i="27" s="1"/>
  <c r="BE33" i="27"/>
  <c r="BI13" i="27"/>
  <c r="BM13" i="27" s="1"/>
  <c r="BM16" i="27" s="1"/>
  <c r="AN51" i="27"/>
  <c r="AN23" i="27"/>
  <c r="BE32" i="27"/>
  <c r="AN45" i="27"/>
  <c r="AN33" i="27"/>
  <c r="AN38" i="27"/>
  <c r="BE26" i="27"/>
  <c r="BE49" i="27"/>
  <c r="BE24" i="27"/>
  <c r="BE23" i="27"/>
  <c r="BE50" i="27"/>
  <c r="AT33" i="27"/>
  <c r="Q31" i="27"/>
  <c r="R31" i="27" s="1"/>
  <c r="S31" i="27" s="1"/>
  <c r="Q34" i="27"/>
  <c r="R34" i="27" s="1"/>
  <c r="S34" i="27" s="1"/>
  <c r="Q26" i="27"/>
  <c r="R26" i="27" s="1"/>
  <c r="S26" i="27" s="1"/>
  <c r="Q25" i="27"/>
  <c r="R25" i="27" s="1"/>
  <c r="S25" i="27" s="1"/>
  <c r="Q28" i="27"/>
  <c r="R28" i="27" s="1"/>
  <c r="S28" i="27" s="1"/>
  <c r="AT24" i="27"/>
  <c r="BE15" i="27"/>
  <c r="BE19" i="27"/>
  <c r="BE34" i="27"/>
  <c r="BE42" i="27"/>
  <c r="BE41" i="27"/>
  <c r="BE31" i="27"/>
  <c r="BE30" i="27"/>
  <c r="BE28" i="27"/>
  <c r="BE27" i="27"/>
  <c r="BE48" i="27"/>
  <c r="BE29" i="27"/>
  <c r="BE53" i="27"/>
  <c r="BE47" i="27"/>
  <c r="BE40" i="27"/>
  <c r="BE17" i="27"/>
  <c r="BE39" i="27"/>
  <c r="BE21" i="27"/>
  <c r="BE46" i="27"/>
  <c r="BE38" i="27"/>
  <c r="BE52" i="27"/>
  <c r="BE45" i="27"/>
  <c r="BE37" i="27"/>
  <c r="BE18" i="27"/>
  <c r="BE36" i="27"/>
  <c r="BE22" i="27"/>
  <c r="BE51" i="27"/>
  <c r="BE44" i="27"/>
  <c r="BE43" i="27"/>
  <c r="BE35" i="27"/>
  <c r="AN32" i="27"/>
  <c r="AN43" i="27"/>
  <c r="AN31" i="27"/>
  <c r="AN27" i="27"/>
  <c r="AN52" i="27"/>
  <c r="AN28" i="27"/>
  <c r="AN48" i="27"/>
  <c r="AN29" i="27"/>
  <c r="AJ34" i="27"/>
  <c r="AN25" i="27"/>
  <c r="AJ31" i="27"/>
  <c r="AT53" i="27"/>
  <c r="AT44" i="27"/>
  <c r="AT27" i="27"/>
  <c r="AN53" i="27"/>
  <c r="AT29" i="27"/>
  <c r="AT32" i="27"/>
  <c r="AT28" i="27"/>
  <c r="AT38" i="27"/>
  <c r="AT45" i="27"/>
  <c r="AT26" i="27"/>
  <c r="AJ29" i="27"/>
  <c r="AJ44" i="27"/>
  <c r="Q24" i="27"/>
  <c r="R24" i="27" s="1"/>
  <c r="S24" i="27" s="1"/>
  <c r="AT50" i="27"/>
  <c r="AT48" i="27"/>
  <c r="AT43" i="27"/>
  <c r="AT31" i="27"/>
  <c r="AT40" i="27"/>
  <c r="AT47" i="27"/>
  <c r="AT35" i="27"/>
  <c r="AT42" i="27"/>
  <c r="AT30" i="27"/>
  <c r="AJ24" i="27"/>
  <c r="AT52" i="27"/>
  <c r="AT49" i="27"/>
  <c r="AT37" i="27"/>
  <c r="AT46" i="27"/>
  <c r="AN46" i="27"/>
  <c r="AT34" i="27"/>
  <c r="AN34" i="27"/>
  <c r="AU26" i="27"/>
  <c r="AT51" i="27"/>
  <c r="AT41" i="27"/>
  <c r="AT39" i="27"/>
  <c r="AT36" i="27"/>
  <c r="AN36" i="27"/>
  <c r="AT25" i="27"/>
  <c r="AU14" i="27"/>
  <c r="AT14" i="27"/>
  <c r="AN22" i="27"/>
  <c r="AN15" i="27"/>
  <c r="AN16" i="27"/>
  <c r="AJ17" i="27"/>
  <c r="AJ23" i="27"/>
  <c r="AJ14" i="27"/>
  <c r="AN14" i="27"/>
  <c r="AJ18" i="27"/>
  <c r="AJ22" i="27"/>
  <c r="AU17" i="27"/>
  <c r="AU15" i="27"/>
  <c r="AU21" i="27"/>
  <c r="AU20" i="27"/>
  <c r="AU23" i="27"/>
  <c r="AT18" i="27"/>
  <c r="AT17" i="27"/>
  <c r="AT15" i="27"/>
  <c r="AU19" i="27"/>
  <c r="AT16" i="27"/>
  <c r="AT23" i="27"/>
  <c r="AT22" i="27"/>
  <c r="AT21" i="27"/>
  <c r="AT20" i="27"/>
  <c r="AT19" i="27"/>
  <c r="AN39" i="27" l="1"/>
  <c r="AN21" i="27"/>
  <c r="AN35" i="27"/>
  <c r="AR41" i="27"/>
  <c r="AR30" i="27"/>
  <c r="AR43" i="27"/>
  <c r="AS43" i="27" s="1"/>
  <c r="AR25" i="27"/>
  <c r="AR24" i="27"/>
  <c r="AR39" i="27"/>
  <c r="AR44" i="27"/>
  <c r="AR40" i="27"/>
  <c r="AR52" i="27"/>
  <c r="AS52" i="27" s="1"/>
  <c r="AR34" i="27"/>
  <c r="AS34" i="27" s="1"/>
  <c r="AN17" i="27"/>
  <c r="AR13" i="27"/>
  <c r="AR29" i="27"/>
  <c r="AS29" i="27" s="1"/>
  <c r="BT26" i="41"/>
  <c r="BS26" i="41"/>
  <c r="BT36" i="41"/>
  <c r="BS36" i="41"/>
  <c r="BT15" i="41"/>
  <c r="BS15" i="41"/>
  <c r="BT42" i="41"/>
  <c r="BS42" i="41"/>
  <c r="BT51" i="41"/>
  <c r="BS51" i="41"/>
  <c r="BT52" i="41"/>
  <c r="BS52" i="41"/>
  <c r="BS32" i="41"/>
  <c r="BT32" i="41"/>
  <c r="BT21" i="41"/>
  <c r="BS21" i="41"/>
  <c r="BS37" i="41"/>
  <c r="BT37" i="41"/>
  <c r="BT53" i="41"/>
  <c r="BS53" i="41"/>
  <c r="BT16" i="41"/>
  <c r="BS16" i="41"/>
  <c r="BT18" i="41"/>
  <c r="BS18" i="41"/>
  <c r="BS40" i="41"/>
  <c r="BT40" i="41"/>
  <c r="BT28" i="41"/>
  <c r="BS28" i="41"/>
  <c r="BS35" i="41"/>
  <c r="BT35" i="41"/>
  <c r="BS43" i="41"/>
  <c r="BT43" i="41"/>
  <c r="BT24" i="41"/>
  <c r="BS24" i="41"/>
  <c r="BT33" i="41"/>
  <c r="BS33" i="41"/>
  <c r="AU38" i="27"/>
  <c r="AU25" i="27"/>
  <c r="AN47" i="27"/>
  <c r="AN20" i="27"/>
  <c r="AN24" i="27"/>
  <c r="AN44" i="27"/>
  <c r="AS44" i="27" s="1"/>
  <c r="BB11" i="27"/>
  <c r="AN18" i="27"/>
  <c r="AU31" i="27"/>
  <c r="AU16" i="27"/>
  <c r="AU18" i="27"/>
  <c r="AU39" i="27"/>
  <c r="AU24" i="27"/>
  <c r="BI40" i="27"/>
  <c r="BI52" i="27"/>
  <c r="BM40" i="27"/>
  <c r="AR22" i="27"/>
  <c r="BI14" i="27"/>
  <c r="BM36" i="27"/>
  <c r="BM34" i="27"/>
  <c r="BM23" i="27"/>
  <c r="AU43" i="27"/>
  <c r="BI24" i="27"/>
  <c r="BM33" i="27"/>
  <c r="BM27" i="27"/>
  <c r="BM28" i="27"/>
  <c r="AU48" i="27"/>
  <c r="BM29" i="27"/>
  <c r="BM48" i="27"/>
  <c r="BM41" i="27"/>
  <c r="BI31" i="27"/>
  <c r="BM51" i="27"/>
  <c r="BM14" i="27"/>
  <c r="BI47" i="27"/>
  <c r="AU28" i="27"/>
  <c r="AU52" i="27"/>
  <c r="AU32" i="27"/>
  <c r="AS39" i="27"/>
  <c r="AU51" i="27"/>
  <c r="AU45" i="27"/>
  <c r="BE25" i="27"/>
  <c r="BM25" i="27"/>
  <c r="BI29" i="27"/>
  <c r="BM32" i="27"/>
  <c r="BM44" i="27"/>
  <c r="BM45" i="27"/>
  <c r="BI25" i="27"/>
  <c r="BM26" i="27"/>
  <c r="BI18" i="27"/>
  <c r="BI37" i="27"/>
  <c r="BM52" i="27"/>
  <c r="BI23" i="27"/>
  <c r="BM18" i="27"/>
  <c r="BI44" i="27"/>
  <c r="BI17" i="27"/>
  <c r="BM22" i="27"/>
  <c r="BM39" i="27"/>
  <c r="BM31" i="27"/>
  <c r="BI33" i="27"/>
  <c r="BM35" i="27"/>
  <c r="BI21" i="27"/>
  <c r="BM37" i="27"/>
  <c r="BI42" i="27"/>
  <c r="BI19" i="27"/>
  <c r="BI32" i="27"/>
  <c r="BI34" i="27"/>
  <c r="BM17" i="27"/>
  <c r="BI38" i="27"/>
  <c r="BI39" i="27"/>
  <c r="BI49" i="27"/>
  <c r="BI35" i="27"/>
  <c r="BI43" i="27"/>
  <c r="BI36" i="27"/>
  <c r="BM46" i="27"/>
  <c r="BI48" i="27"/>
  <c r="BM53" i="27"/>
  <c r="BM42" i="27"/>
  <c r="BM49" i="27"/>
  <c r="BI51" i="27"/>
  <c r="BI46" i="27"/>
  <c r="BM19" i="27"/>
  <c r="BI28" i="27"/>
  <c r="BM50" i="27"/>
  <c r="BM21" i="27"/>
  <c r="BM43" i="27"/>
  <c r="BM20" i="27"/>
  <c r="BI20" i="27"/>
  <c r="BM15" i="27"/>
  <c r="BM47" i="27"/>
  <c r="BI30" i="27"/>
  <c r="BM24" i="27"/>
  <c r="BI50" i="27"/>
  <c r="BI45" i="27"/>
  <c r="BI16" i="27"/>
  <c r="BN16" i="27" s="1"/>
  <c r="BI26" i="27"/>
  <c r="BI53" i="27"/>
  <c r="BI22" i="27"/>
  <c r="BM38" i="27"/>
  <c r="BI27" i="27"/>
  <c r="BM30" i="27"/>
  <c r="BI41" i="27"/>
  <c r="AS25" i="27"/>
  <c r="BI15" i="27"/>
  <c r="AU47" i="27"/>
  <c r="AU44" i="27"/>
  <c r="AU53" i="27"/>
  <c r="AU29" i="27"/>
  <c r="AJ27" i="27"/>
  <c r="AU27" i="27"/>
  <c r="AJ33" i="27"/>
  <c r="AU33" i="27"/>
  <c r="AN41" i="27"/>
  <c r="AS41" i="27" s="1"/>
  <c r="AU41" i="27"/>
  <c r="AU40" i="27"/>
  <c r="AN40" i="27"/>
  <c r="AU34" i="27"/>
  <c r="AU36" i="27"/>
  <c r="AN37" i="27"/>
  <c r="AU37" i="27"/>
  <c r="AN30" i="27"/>
  <c r="AS30" i="27" s="1"/>
  <c r="AU30" i="27"/>
  <c r="AU46" i="27"/>
  <c r="AU50" i="27"/>
  <c r="AN50" i="27"/>
  <c r="AU42" i="27"/>
  <c r="AN42" i="27"/>
  <c r="AU35" i="27"/>
  <c r="AN49" i="27"/>
  <c r="AU49" i="27"/>
  <c r="BE14" i="27"/>
  <c r="AR33" i="27" l="1"/>
  <c r="AR51" i="27"/>
  <c r="AS51" i="27" s="1"/>
  <c r="AR23" i="27"/>
  <c r="AR27" i="27"/>
  <c r="AS27" i="27" s="1"/>
  <c r="AR15" i="27"/>
  <c r="AR16" i="27"/>
  <c r="AR14" i="27"/>
  <c r="AR50" i="27"/>
  <c r="AS50" i="27" s="1"/>
  <c r="AR20" i="27"/>
  <c r="AR26" i="27"/>
  <c r="AS26" i="27" s="1"/>
  <c r="AR17" i="27"/>
  <c r="AR21" i="27"/>
  <c r="AR19" i="27"/>
  <c r="AR45" i="27"/>
  <c r="AS45" i="27" s="1"/>
  <c r="AR48" i="27"/>
  <c r="AS48" i="27" s="1"/>
  <c r="AR36" i="27"/>
  <c r="AS36" i="27" s="1"/>
  <c r="AG11" i="27"/>
  <c r="AR49" i="27"/>
  <c r="AR31" i="27"/>
  <c r="AS31" i="27" s="1"/>
  <c r="AS33" i="27"/>
  <c r="AS49" i="27"/>
  <c r="AR38" i="27"/>
  <c r="AS38" i="27" s="1"/>
  <c r="AS40" i="27"/>
  <c r="AR42" i="27"/>
  <c r="AS42" i="27" s="1"/>
  <c r="AR47" i="27"/>
  <c r="AS47" i="27" s="1"/>
  <c r="AS24" i="27"/>
  <c r="AR18" i="27"/>
  <c r="AR28" i="27"/>
  <c r="AS28" i="27" s="1"/>
  <c r="AR35" i="27"/>
  <c r="AS35" i="27" s="1"/>
  <c r="AR37" i="27"/>
  <c r="AS37" i="27" s="1"/>
  <c r="AR46" i="27"/>
  <c r="AS46" i="27" s="1"/>
  <c r="AR32" i="27"/>
  <c r="AS32" i="27" s="1"/>
  <c r="AR53" i="27"/>
  <c r="AS53" i="27" s="1"/>
  <c r="BN27" i="27"/>
  <c r="BN23" i="27"/>
  <c r="BN31" i="27"/>
  <c r="BN29" i="27"/>
  <c r="BN40" i="27"/>
  <c r="BN48" i="27"/>
  <c r="BN36" i="27"/>
  <c r="BN41" i="27"/>
  <c r="BN47" i="27"/>
  <c r="BN52" i="27"/>
  <c r="BN14" i="27"/>
  <c r="BN24" i="27"/>
  <c r="BN51" i="27"/>
  <c r="BN28" i="27"/>
  <c r="BN34" i="27"/>
  <c r="BN33" i="27"/>
  <c r="BN19" i="27"/>
  <c r="BN26" i="27"/>
  <c r="BN30" i="27"/>
  <c r="BN25" i="27"/>
  <c r="BN18" i="27"/>
  <c r="BN22" i="27"/>
  <c r="BN21" i="27"/>
  <c r="BN37" i="27"/>
  <c r="BN38" i="27"/>
  <c r="BN17" i="27"/>
  <c r="BN44" i="27"/>
  <c r="BN20" i="27"/>
  <c r="BN32" i="27"/>
  <c r="BN53" i="27"/>
  <c r="BN43" i="27"/>
  <c r="BN35" i="27"/>
  <c r="BN45" i="27"/>
  <c r="BN49" i="27"/>
  <c r="BN15" i="27"/>
  <c r="BN46" i="27"/>
  <c r="BN39" i="27"/>
  <c r="BN50" i="27"/>
  <c r="BN42" i="27"/>
  <c r="AY23" i="27"/>
  <c r="P23" i="27"/>
  <c r="F23" i="27"/>
  <c r="G23" i="27" s="1"/>
  <c r="E23" i="27"/>
  <c r="AY22" i="27"/>
  <c r="P22" i="27"/>
  <c r="F22" i="27"/>
  <c r="G22" i="27" s="1"/>
  <c r="E22" i="27"/>
  <c r="AY21" i="27"/>
  <c r="P21" i="27"/>
  <c r="F21" i="27"/>
  <c r="G21" i="27" s="1"/>
  <c r="E21" i="27"/>
  <c r="AY20" i="27"/>
  <c r="P20" i="27"/>
  <c r="F20" i="27"/>
  <c r="G20" i="27" s="1"/>
  <c r="E20" i="27"/>
  <c r="AY19" i="27"/>
  <c r="P19" i="27"/>
  <c r="F19" i="27"/>
  <c r="G19" i="27" s="1"/>
  <c r="E19" i="27"/>
  <c r="AY18" i="27"/>
  <c r="P18" i="27"/>
  <c r="F18" i="27"/>
  <c r="G18" i="27" s="1"/>
  <c r="E18" i="27"/>
  <c r="AY17" i="27"/>
  <c r="P17" i="27"/>
  <c r="F17" i="27"/>
  <c r="G17" i="27" s="1"/>
  <c r="E17" i="27"/>
  <c r="AY16" i="27"/>
  <c r="P16" i="27"/>
  <c r="F16" i="27"/>
  <c r="G16" i="27" s="1"/>
  <c r="E16" i="27"/>
  <c r="AY15" i="27"/>
  <c r="P15" i="27"/>
  <c r="F15" i="27"/>
  <c r="G15" i="27" s="1"/>
  <c r="E15" i="27"/>
  <c r="AY14" i="27"/>
  <c r="P14" i="27"/>
  <c r="F14" i="27"/>
  <c r="G14" i="27" s="1"/>
  <c r="E14" i="27"/>
  <c r="AY13" i="27"/>
  <c r="BQ11" i="27"/>
  <c r="BV10" i="27" s="1"/>
  <c r="AW11" i="27"/>
  <c r="O11" i="27"/>
  <c r="AW10" i="27"/>
  <c r="D10" i="27"/>
  <c r="BO22" i="27" l="1"/>
  <c r="AZ22" i="27"/>
  <c r="BO16" i="27"/>
  <c r="AZ16" i="27"/>
  <c r="BO17" i="27"/>
  <c r="AZ17" i="27"/>
  <c r="BO23" i="27"/>
  <c r="AZ23" i="27"/>
  <c r="AZ41" i="27"/>
  <c r="AZ32" i="27"/>
  <c r="AZ28" i="27"/>
  <c r="AZ29" i="27"/>
  <c r="AZ53" i="27"/>
  <c r="AZ46" i="27"/>
  <c r="AZ51" i="27"/>
  <c r="AZ42" i="27"/>
  <c r="AZ47" i="27"/>
  <c r="AZ39" i="27"/>
  <c r="AZ33" i="27"/>
  <c r="AZ30" i="27"/>
  <c r="AZ35" i="27"/>
  <c r="AZ38" i="27"/>
  <c r="AZ37" i="27"/>
  <c r="AZ27" i="27"/>
  <c r="AZ49" i="27"/>
  <c r="AZ26" i="27"/>
  <c r="AZ45" i="27"/>
  <c r="AZ48" i="27"/>
  <c r="AZ52" i="27"/>
  <c r="AZ25" i="27"/>
  <c r="AZ43" i="27"/>
  <c r="AZ36" i="27"/>
  <c r="AZ34" i="27"/>
  <c r="AZ50" i="27"/>
  <c r="AZ31" i="27"/>
  <c r="AZ24" i="27"/>
  <c r="AZ44" i="27"/>
  <c r="AZ40" i="27"/>
  <c r="BO14" i="27"/>
  <c r="AZ14" i="27"/>
  <c r="BO20" i="27"/>
  <c r="AZ20" i="27"/>
  <c r="BO19" i="27"/>
  <c r="AZ19" i="27"/>
  <c r="BO15" i="27"/>
  <c r="AZ15" i="27"/>
  <c r="BO18" i="27"/>
  <c r="AZ18" i="27"/>
  <c r="BO21" i="27"/>
  <c r="AZ21" i="27"/>
  <c r="W40" i="27"/>
  <c r="W33" i="27"/>
  <c r="W44" i="27"/>
  <c r="W42" i="27"/>
  <c r="W25" i="27"/>
  <c r="W49" i="27"/>
  <c r="W32" i="27"/>
  <c r="W35" i="27"/>
  <c r="W47" i="27"/>
  <c r="W50" i="27"/>
  <c r="W43" i="27"/>
  <c r="W27" i="27"/>
  <c r="W46" i="27"/>
  <c r="W38" i="27"/>
  <c r="W48" i="27"/>
  <c r="W36" i="27"/>
  <c r="W24" i="27"/>
  <c r="W39" i="27"/>
  <c r="W52" i="27"/>
  <c r="W28" i="27"/>
  <c r="W53" i="27"/>
  <c r="W45" i="27"/>
  <c r="W51" i="27"/>
  <c r="W37" i="27"/>
  <c r="W31" i="27"/>
  <c r="W26" i="27"/>
  <c r="W34" i="27"/>
  <c r="W29" i="27"/>
  <c r="W30" i="27"/>
  <c r="W41" i="27"/>
  <c r="W15" i="27"/>
  <c r="W20" i="27"/>
  <c r="W14" i="27"/>
  <c r="W23" i="27"/>
  <c r="W18" i="27"/>
  <c r="W22" i="27"/>
  <c r="W17" i="27"/>
  <c r="W21" i="27"/>
  <c r="W19" i="27"/>
  <c r="W16" i="27"/>
  <c r="AA13" i="27"/>
  <c r="AE13" i="27" s="1"/>
  <c r="Q15" i="27"/>
  <c r="R15" i="27" s="1"/>
  <c r="S15" i="27" s="1"/>
  <c r="Q14" i="27"/>
  <c r="R14" i="27" s="1"/>
  <c r="S14" i="27" s="1"/>
  <c r="Q16" i="27"/>
  <c r="R16" i="27" s="1"/>
  <c r="S16" i="27" s="1"/>
  <c r="Q18" i="27"/>
  <c r="R18" i="27" s="1"/>
  <c r="S18" i="27" s="1"/>
  <c r="Q21" i="27"/>
  <c r="R21" i="27" s="1"/>
  <c r="S21" i="27" s="1"/>
  <c r="Q22" i="27"/>
  <c r="R22" i="27" s="1"/>
  <c r="S22" i="27" s="1"/>
  <c r="Q17" i="27"/>
  <c r="R17" i="27" s="1"/>
  <c r="S17" i="27" s="1"/>
  <c r="Q20" i="27"/>
  <c r="R20" i="27" s="1"/>
  <c r="S20" i="27" s="1"/>
  <c r="Q23" i="27"/>
  <c r="R23" i="27" s="1"/>
  <c r="S23" i="27" s="1"/>
  <c r="Q19" i="27"/>
  <c r="R19" i="27" s="1"/>
  <c r="S19" i="27" s="1"/>
  <c r="BP20" i="27" l="1"/>
  <c r="BA20" i="27"/>
  <c r="BQ20" i="27" s="1"/>
  <c r="BP36" i="27"/>
  <c r="BA36" i="27"/>
  <c r="BQ36" i="27" s="1"/>
  <c r="BP30" i="27"/>
  <c r="BA30" i="27"/>
  <c r="BQ30" i="27" s="1"/>
  <c r="BP43" i="27"/>
  <c r="BA43" i="27"/>
  <c r="BQ43" i="27" s="1"/>
  <c r="BP33" i="27"/>
  <c r="BA33" i="27"/>
  <c r="BQ33" i="27" s="1"/>
  <c r="BP23" i="27"/>
  <c r="BA23" i="27"/>
  <c r="BQ23" i="27" s="1"/>
  <c r="BP14" i="27"/>
  <c r="BA14" i="27"/>
  <c r="BQ14" i="27" s="1"/>
  <c r="BP25" i="27"/>
  <c r="BA25" i="27"/>
  <c r="BQ25" i="27" s="1"/>
  <c r="BP39" i="27"/>
  <c r="BA39" i="27"/>
  <c r="BQ39" i="27" s="1"/>
  <c r="BP21" i="27"/>
  <c r="BA21" i="27"/>
  <c r="BQ21" i="27" s="1"/>
  <c r="BP52" i="27"/>
  <c r="BA52" i="27"/>
  <c r="BQ52" i="27" s="1"/>
  <c r="BP47" i="27"/>
  <c r="BA47" i="27"/>
  <c r="BQ47" i="27" s="1"/>
  <c r="BP17" i="27"/>
  <c r="BA17" i="27"/>
  <c r="BQ17" i="27" s="1"/>
  <c r="BP48" i="27"/>
  <c r="BA48" i="27"/>
  <c r="BQ48" i="27" s="1"/>
  <c r="BP42" i="27"/>
  <c r="BA42" i="27"/>
  <c r="BQ42" i="27" s="1"/>
  <c r="BP18" i="27"/>
  <c r="BA18" i="27"/>
  <c r="BQ18" i="27" s="1"/>
  <c r="BP45" i="27"/>
  <c r="BA45" i="27"/>
  <c r="BQ45" i="27" s="1"/>
  <c r="BP51" i="27"/>
  <c r="BA51" i="27"/>
  <c r="BQ51" i="27" s="1"/>
  <c r="BP40" i="27"/>
  <c r="BA40" i="27"/>
  <c r="BQ40" i="27" s="1"/>
  <c r="BP26" i="27"/>
  <c r="BA26" i="27"/>
  <c r="BQ26" i="27" s="1"/>
  <c r="BP46" i="27"/>
  <c r="BA46" i="27"/>
  <c r="BQ46" i="27" s="1"/>
  <c r="BP15" i="27"/>
  <c r="BA15" i="27"/>
  <c r="BQ15" i="27" s="1"/>
  <c r="BP44" i="27"/>
  <c r="BA44" i="27"/>
  <c r="BQ44" i="27" s="1"/>
  <c r="BP49" i="27"/>
  <c r="BA49" i="27"/>
  <c r="BQ49" i="27" s="1"/>
  <c r="BP53" i="27"/>
  <c r="BA53" i="27"/>
  <c r="BQ53" i="27" s="1"/>
  <c r="BP24" i="27"/>
  <c r="BA24" i="27"/>
  <c r="BQ24" i="27" s="1"/>
  <c r="BP27" i="27"/>
  <c r="BA27" i="27"/>
  <c r="BQ27" i="27" s="1"/>
  <c r="BP29" i="27"/>
  <c r="BA29" i="27"/>
  <c r="BQ29" i="27" s="1"/>
  <c r="BP16" i="27"/>
  <c r="BA16" i="27"/>
  <c r="BQ16" i="27" s="1"/>
  <c r="BP31" i="27"/>
  <c r="BA31" i="27"/>
  <c r="BQ31" i="27" s="1"/>
  <c r="BP37" i="27"/>
  <c r="BA37" i="27"/>
  <c r="BQ37" i="27" s="1"/>
  <c r="BP28" i="27"/>
  <c r="BA28" i="27"/>
  <c r="BQ28" i="27" s="1"/>
  <c r="BP22" i="27"/>
  <c r="BA22" i="27"/>
  <c r="BQ22" i="27" s="1"/>
  <c r="BP50" i="27"/>
  <c r="BA50" i="27"/>
  <c r="BQ50" i="27" s="1"/>
  <c r="BP38" i="27"/>
  <c r="BA38" i="27"/>
  <c r="BQ38" i="27" s="1"/>
  <c r="BP32" i="27"/>
  <c r="BA32" i="27"/>
  <c r="BQ32" i="27" s="1"/>
  <c r="BP19" i="27"/>
  <c r="BA19" i="27"/>
  <c r="BQ19" i="27" s="1"/>
  <c r="BP34" i="27"/>
  <c r="BA34" i="27"/>
  <c r="BQ34" i="27" s="1"/>
  <c r="BP35" i="27"/>
  <c r="BA35" i="27"/>
  <c r="BQ35" i="27" s="1"/>
  <c r="BP41" i="27"/>
  <c r="BA41" i="27"/>
  <c r="BQ41" i="27" s="1"/>
  <c r="AA52" i="27"/>
  <c r="AA36" i="27"/>
  <c r="AA29" i="27"/>
  <c r="AA53" i="27"/>
  <c r="AA31" i="27"/>
  <c r="AA25" i="27"/>
  <c r="AA51" i="27"/>
  <c r="AA26" i="27"/>
  <c r="AA33" i="27"/>
  <c r="AA44" i="27"/>
  <c r="AA34" i="27"/>
  <c r="AA41" i="27"/>
  <c r="AA32" i="27"/>
  <c r="AA50" i="27"/>
  <c r="AA43" i="27"/>
  <c r="AA27" i="27"/>
  <c r="AA42" i="27"/>
  <c r="AA28" i="27"/>
  <c r="AA47" i="27"/>
  <c r="AA35" i="27"/>
  <c r="AA40" i="27"/>
  <c r="AA45" i="27"/>
  <c r="AA46" i="27"/>
  <c r="AA37" i="27"/>
  <c r="AA24" i="27"/>
  <c r="AA38" i="27"/>
  <c r="AA39" i="27"/>
  <c r="AA30" i="27"/>
  <c r="AA49" i="27"/>
  <c r="AA48" i="27"/>
  <c r="AA23" i="27"/>
  <c r="AA14" i="27"/>
  <c r="AA18" i="27"/>
  <c r="AA22" i="27"/>
  <c r="AA17" i="27"/>
  <c r="AA21" i="27"/>
  <c r="AA16" i="27"/>
  <c r="AA20" i="27"/>
  <c r="AA15" i="27"/>
  <c r="AA19" i="27"/>
  <c r="AS16" i="27" l="1"/>
  <c r="AS23" i="27"/>
  <c r="AS19" i="27"/>
  <c r="AS15" i="27"/>
  <c r="AS20" i="27"/>
  <c r="AS14" i="27"/>
  <c r="AS21" i="27"/>
  <c r="AS17" i="27"/>
  <c r="AS18" i="27"/>
  <c r="AS22" i="27"/>
  <c r="AV18" i="27" l="1"/>
  <c r="BR18" i="27" s="1"/>
  <c r="BS18" i="27" s="1"/>
  <c r="AV20" i="27"/>
  <c r="BR20" i="27" s="1"/>
  <c r="BS20" i="27" s="1"/>
  <c r="AV25" i="27"/>
  <c r="BR25" i="27" s="1"/>
  <c r="BS25" i="27" s="1"/>
  <c r="AV38" i="27"/>
  <c r="BR38" i="27" s="1"/>
  <c r="BS38" i="27" s="1"/>
  <c r="AV22" i="27"/>
  <c r="BR22" i="27" s="1"/>
  <c r="BS22" i="27" s="1"/>
  <c r="AV46" i="27"/>
  <c r="BR46" i="27" s="1"/>
  <c r="BT46" i="27" s="1"/>
  <c r="AV44" i="27"/>
  <c r="BR44" i="27" s="1"/>
  <c r="BT44" i="27" s="1"/>
  <c r="AV24" i="27"/>
  <c r="BR24" i="27" s="1"/>
  <c r="BT24" i="27" s="1"/>
  <c r="AV47" i="27"/>
  <c r="BR47" i="27" s="1"/>
  <c r="BS47" i="27" s="1"/>
  <c r="AV45" i="27"/>
  <c r="BR45" i="27" s="1"/>
  <c r="BS45" i="27" s="1"/>
  <c r="AV19" i="27"/>
  <c r="BR19" i="27" s="1"/>
  <c r="AV37" i="27"/>
  <c r="BR37" i="27" s="1"/>
  <c r="BS37" i="27" s="1"/>
  <c r="AV23" i="27"/>
  <c r="BR23" i="27" s="1"/>
  <c r="BS23" i="27" s="1"/>
  <c r="AV17" i="27"/>
  <c r="BR17" i="27" s="1"/>
  <c r="BT17" i="27" s="1"/>
  <c r="AV42" i="27"/>
  <c r="BR42" i="27" s="1"/>
  <c r="BT42" i="27" s="1"/>
  <c r="AV40" i="27"/>
  <c r="BR40" i="27" s="1"/>
  <c r="BS40" i="27" s="1"/>
  <c r="AV35" i="27"/>
  <c r="BR35" i="27" s="1"/>
  <c r="BT35" i="27" s="1"/>
  <c r="AV43" i="27"/>
  <c r="BR43" i="27" s="1"/>
  <c r="BT43" i="27" s="1"/>
  <c r="AV50" i="27"/>
  <c r="BR50" i="27" s="1"/>
  <c r="BS50" i="27" s="1"/>
  <c r="AV21" i="27"/>
  <c r="BR21" i="27" s="1"/>
  <c r="BS21" i="27" s="1"/>
  <c r="AV51" i="27"/>
  <c r="BR51" i="27" s="1"/>
  <c r="BS51" i="27" s="1"/>
  <c r="AV49" i="27"/>
  <c r="BR49" i="27" s="1"/>
  <c r="BS49" i="27" s="1"/>
  <c r="AV16" i="27"/>
  <c r="BR16" i="27" s="1"/>
  <c r="BS16" i="27" s="1"/>
  <c r="AV28" i="27"/>
  <c r="BR28" i="27" s="1"/>
  <c r="BT28" i="27" s="1"/>
  <c r="AV27" i="27"/>
  <c r="BR27" i="27" s="1"/>
  <c r="AV52" i="27"/>
  <c r="BR52" i="27" s="1"/>
  <c r="BT52" i="27" s="1"/>
  <c r="AV31" i="27"/>
  <c r="BR31" i="27" s="1"/>
  <c r="BT31" i="27" s="1"/>
  <c r="AV36" i="27"/>
  <c r="BR36" i="27" s="1"/>
  <c r="AV33" i="27"/>
  <c r="BR33" i="27" s="1"/>
  <c r="AV53" i="27"/>
  <c r="BR53" i="27" s="1"/>
  <c r="BT53" i="27" s="1"/>
  <c r="AV14" i="27"/>
  <c r="AV41" i="27"/>
  <c r="BR41" i="27" s="1"/>
  <c r="BS41" i="27" s="1"/>
  <c r="AV15" i="27"/>
  <c r="BR15" i="27" s="1"/>
  <c r="BT15" i="27" s="1"/>
  <c r="AV26" i="27"/>
  <c r="BR26" i="27" s="1"/>
  <c r="AV29" i="27"/>
  <c r="BR29" i="27" s="1"/>
  <c r="AV30" i="27"/>
  <c r="BR30" i="27" s="1"/>
  <c r="AV39" i="27"/>
  <c r="BR39" i="27" s="1"/>
  <c r="AV48" i="27"/>
  <c r="BR48" i="27" s="1"/>
  <c r="AV34" i="27"/>
  <c r="BR34" i="27" s="1"/>
  <c r="BS34" i="27" s="1"/>
  <c r="AV32" i="27"/>
  <c r="BR32" i="27" s="1"/>
  <c r="BT37" i="27" l="1"/>
  <c r="BS46" i="27"/>
  <c r="BT47" i="27"/>
  <c r="BS35" i="27"/>
  <c r="BT49" i="27"/>
  <c r="BS28" i="27"/>
  <c r="BT36" i="27"/>
  <c r="BS36" i="27"/>
  <c r="BT26" i="27"/>
  <c r="BS26" i="27"/>
  <c r="BT48" i="27"/>
  <c r="BS48" i="27"/>
  <c r="BT50" i="27"/>
  <c r="BT40" i="27"/>
  <c r="BT51" i="27"/>
  <c r="BS44" i="27"/>
  <c r="BS42" i="27"/>
  <c r="BT34" i="27"/>
  <c r="BS31" i="27"/>
  <c r="BS53" i="27"/>
  <c r="BS27" i="27"/>
  <c r="BT27" i="27"/>
  <c r="BS39" i="27"/>
  <c r="BT39" i="27"/>
  <c r="BT30" i="27"/>
  <c r="BS30" i="27"/>
  <c r="BS29" i="27"/>
  <c r="BT29" i="27"/>
  <c r="BT32" i="27"/>
  <c r="BS32" i="27"/>
  <c r="BT33" i="27"/>
  <c r="BS33" i="27"/>
  <c r="BS43" i="27"/>
  <c r="BS24" i="27"/>
  <c r="BT41" i="27"/>
  <c r="BT45" i="27"/>
  <c r="BT38" i="27"/>
  <c r="BS52" i="27"/>
  <c r="BT25" i="27"/>
  <c r="BS15" i="27"/>
  <c r="BT19" i="27"/>
  <c r="BS19" i="27"/>
  <c r="BT22" i="27"/>
  <c r="BT16" i="27"/>
  <c r="BT21" i="27"/>
  <c r="BT20" i="27"/>
  <c r="BT18" i="27"/>
  <c r="BT23" i="27"/>
  <c r="BS17" i="27"/>
  <c r="BR14" i="27"/>
  <c r="BS14" i="27" l="1"/>
  <c r="BT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 Morato</author>
  </authors>
  <commentList>
    <comment ref="C7" authorId="0" shapeId="0" xr:uid="{5D5A3723-5F25-4AEB-8E3C-2342B3313BBC}">
      <text>
        <r>
          <rPr>
            <b/>
            <sz val="9"/>
            <color indexed="81"/>
            <rFont val="Tahoma"/>
            <family val="2"/>
          </rPr>
          <t xml:space="preserve">Subject Code / Subject Name
</t>
        </r>
        <r>
          <rPr>
            <sz val="9"/>
            <color indexed="81"/>
            <rFont val="Tahoma"/>
            <family val="2"/>
          </rPr>
          <t>e.g.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MATH 213 / Differential Equations</t>
        </r>
      </text>
    </comment>
    <comment ref="BS7" authorId="0" shapeId="0" xr:uid="{2C7E3432-CFE3-46B9-A114-66C59F63DA79}">
      <text>
        <r>
          <rPr>
            <b/>
            <sz val="9"/>
            <color indexed="81"/>
            <rFont val="Tahoma"/>
            <family val="2"/>
          </rPr>
          <t>Course / Section</t>
        </r>
        <r>
          <rPr>
            <sz val="9"/>
            <color indexed="81"/>
            <rFont val="Tahoma"/>
            <family val="2"/>
          </rPr>
          <t xml:space="preserve">
e.g. BSCE / 2B</t>
        </r>
      </text>
    </comment>
    <comment ref="C8" authorId="0" shapeId="0" xr:uid="{24624591-2379-42A1-BB6A-0FBF25341FE1}">
      <text>
        <r>
          <rPr>
            <b/>
            <sz val="9"/>
            <color indexed="81"/>
            <rFont val="Tahoma"/>
            <family val="2"/>
          </rPr>
          <t>Instructor:</t>
        </r>
        <r>
          <rPr>
            <sz val="9"/>
            <color indexed="81"/>
            <rFont val="Tahoma"/>
            <family val="2"/>
          </rPr>
          <t xml:space="preserve">
e.g. Engr. Juan Dela Cruz</t>
        </r>
      </text>
    </comment>
    <comment ref="AT8" authorId="0" shapeId="0" xr:uid="{ACEB119F-F059-42FB-B7A9-A1A9E83209E0}">
      <text>
        <r>
          <rPr>
            <b/>
            <sz val="9"/>
            <color indexed="81"/>
            <rFont val="Tahoma"/>
            <family val="2"/>
          </rPr>
          <t xml:space="preserve">Subject Units
</t>
        </r>
        <r>
          <rPr>
            <sz val="9"/>
            <color indexed="81"/>
            <rFont val="Tahoma"/>
            <family val="2"/>
          </rPr>
          <t>e.g. 3</t>
        </r>
      </text>
    </comment>
    <comment ref="BO8" authorId="0" shapeId="0" xr:uid="{DB9F4812-9E35-4387-82D1-DA289D532D73}">
      <text>
        <r>
          <rPr>
            <b/>
            <sz val="9"/>
            <color indexed="81"/>
            <rFont val="Tahoma"/>
            <family val="2"/>
          </rPr>
          <t>Time Schedule</t>
        </r>
        <r>
          <rPr>
            <sz val="9"/>
            <color indexed="81"/>
            <rFont val="Tahoma"/>
            <family val="2"/>
          </rPr>
          <t xml:space="preserve">
e.g. 7:30 AM - 9:00 AM</t>
        </r>
      </text>
    </comment>
    <comment ref="BS8" authorId="0" shapeId="0" xr:uid="{2DF79C08-F42D-4FEB-BF19-7FEC99CB4DB8}">
      <text>
        <r>
          <rPr>
            <b/>
            <sz val="9"/>
            <color indexed="81"/>
            <rFont val="Tahoma"/>
            <family val="2"/>
          </rPr>
          <t>Days</t>
        </r>
        <r>
          <rPr>
            <sz val="9"/>
            <color indexed="81"/>
            <rFont val="Tahoma"/>
            <family val="2"/>
          </rPr>
          <t xml:space="preserve">
e.g. Monday/Wednesday</t>
        </r>
      </text>
    </comment>
    <comment ref="D10" authorId="0" shapeId="0" xr:uid="{01DF3894-6C1D-4721-AFC5-9E5F28BD7841}">
      <text>
        <r>
          <rPr>
            <sz val="9"/>
            <color indexed="81"/>
            <rFont val="Tahoma"/>
            <family val="2"/>
          </rPr>
          <t xml:space="preserve">Total Percentage for Examination 
Must be </t>
        </r>
        <r>
          <rPr>
            <b/>
            <sz val="9"/>
            <color indexed="81"/>
            <rFont val="Tahoma"/>
            <family val="2"/>
          </rPr>
          <t>50%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31BB38DE-A0A5-4D6A-8A18-B1EB5C649797}">
      <text>
        <r>
          <rPr>
            <b/>
            <sz val="9"/>
            <color indexed="81"/>
            <rFont val="Tahoma"/>
            <family val="2"/>
          </rPr>
          <t>Admin: 
Total Percentage for Class Standing 
Must be 35%</t>
        </r>
      </text>
    </comment>
    <comment ref="AW10" authorId="0" shapeId="0" xr:uid="{20ADDF72-CB4A-414E-96BC-D888873E6417}">
      <text>
        <r>
          <rPr>
            <b/>
            <sz val="9"/>
            <color indexed="81"/>
            <rFont val="Tahoma"/>
            <family val="2"/>
          </rPr>
          <t>Admin: 
Total Percentage for Project 
Must be 15%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0" authorId="0" shapeId="0" xr:uid="{72784642-BA5F-4A74-B39E-A77119461E12}">
      <text>
        <r>
          <rPr>
            <sz val="9"/>
            <color indexed="81"/>
            <rFont val="Tahoma"/>
            <family val="2"/>
          </rPr>
          <t xml:space="preserve">Change Every Period
</t>
        </r>
      </text>
    </comment>
    <comment ref="AW11" authorId="0" shapeId="0" xr:uid="{ED503DF2-20A9-4D03-85E8-91DD15B40EE9}">
      <text>
        <r>
          <rPr>
            <sz val="9"/>
            <color indexed="81"/>
            <rFont val="Tahoma"/>
            <family val="2"/>
          </rPr>
          <t xml:space="preserve">If other requirement other than notebook, Change the word "Notebook" in the Formula.
</t>
        </r>
      </text>
    </comment>
    <comment ref="BQ11" authorId="0" shapeId="0" xr:uid="{07088847-B580-44A8-844E-5F2220739738}">
      <text>
        <r>
          <rPr>
            <b/>
            <sz val="9"/>
            <color indexed="81"/>
            <rFont val="Tahoma"/>
            <family val="2"/>
          </rPr>
          <t>Total Percentage for Project 
Must be 15%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E1EC2889-E2B6-4598-A55D-35F07F0F7A38}">
      <text>
        <r>
          <rPr>
            <sz val="9"/>
            <color indexed="81"/>
            <rFont val="Tahoma"/>
            <family val="2"/>
          </rPr>
          <t>Input Number of Items in Examination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 shapeId="0" xr:uid="{53EC701C-ECFE-456B-A6AE-EFB8E6551064}">
      <text>
        <r>
          <rPr>
            <sz val="9"/>
            <color indexed="81"/>
            <rFont val="Tahoma"/>
            <family val="2"/>
          </rPr>
          <t xml:space="preserve">Total Percentage for Exam  
Must be </t>
        </r>
        <r>
          <rPr>
            <b/>
            <sz val="9"/>
            <color indexed="81"/>
            <rFont val="Tahoma"/>
            <family val="2"/>
          </rPr>
          <t>50%</t>
        </r>
      </text>
    </comment>
    <comment ref="Q12" authorId="0" shapeId="0" xr:uid="{AF119E83-4B47-455A-B405-4BC1BEC2C2F6}">
      <text>
        <r>
          <rPr>
            <b/>
            <sz val="9"/>
            <color indexed="81"/>
            <rFont val="Tahoma"/>
            <family val="2"/>
          </rPr>
          <t>Hours per Meeting</t>
        </r>
        <r>
          <rPr>
            <sz val="9"/>
            <color indexed="81"/>
            <rFont val="Tahoma"/>
            <family val="2"/>
          </rPr>
          <t xml:space="preserve">
e.g. 1.5</t>
        </r>
      </text>
    </comment>
    <comment ref="P13" authorId="0" shapeId="0" xr:uid="{25D2A4F8-DDA2-48CE-9E22-959DF38F52A7}">
      <text>
        <r>
          <rPr>
            <b/>
            <sz val="9"/>
            <color indexed="81"/>
            <rFont val="Tahoma"/>
            <family val="2"/>
          </rPr>
          <t>Demerit Points</t>
        </r>
        <r>
          <rPr>
            <sz val="9"/>
            <color indexed="81"/>
            <rFont val="Tahoma"/>
            <family val="2"/>
          </rPr>
          <t xml:space="preserve"> 
Look at Table 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3" authorId="0" shapeId="0" xr:uid="{A05A0215-EB6E-4EDA-947A-78F89F2E73C0}">
      <text>
        <r>
          <rPr>
            <b/>
            <sz val="9"/>
            <color indexed="81"/>
            <rFont val="Tahoma"/>
            <family val="2"/>
          </rPr>
          <t xml:space="preserve">Fixed Value (5%)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3" authorId="0" shapeId="0" xr:uid="{11A694CB-6F8E-4860-B859-71808AC493E8}">
      <text>
        <r>
          <rPr>
            <sz val="9"/>
            <color indexed="81"/>
            <rFont val="Tahoma"/>
            <family val="2"/>
          </rPr>
          <t>Input Total Score for SW1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0" shapeId="0" xr:uid="{12C74EE0-3AA2-4108-A5CD-ECA3F64302DD}">
      <text>
        <r>
          <rPr>
            <sz val="9"/>
            <color indexed="81"/>
            <rFont val="Tahoma"/>
            <family val="2"/>
          </rPr>
          <t>Input Percentage for SW1</t>
        </r>
      </text>
    </comment>
    <comment ref="X13" authorId="0" shapeId="0" xr:uid="{58D9DD4B-AD73-4852-8976-1259630656F2}">
      <text>
        <r>
          <rPr>
            <sz val="9"/>
            <color indexed="81"/>
            <rFont val="Tahoma"/>
            <family val="2"/>
          </rPr>
          <t>Input Total Score for SW2</t>
        </r>
      </text>
    </comment>
    <comment ref="AA13" authorId="0" shapeId="0" xr:uid="{8EF54B86-B480-41F0-AEEC-CD195A20CFC5}">
      <text>
        <r>
          <rPr>
            <sz val="9"/>
            <color indexed="81"/>
            <rFont val="Tahoma"/>
            <family val="2"/>
          </rPr>
          <t xml:space="preserve">Input Percentage for SW1
</t>
        </r>
      </text>
    </comment>
    <comment ref="AB13" authorId="0" shapeId="0" xr:uid="{7F58A65B-1F6C-4F14-9515-115B20D95AAA}">
      <text>
        <r>
          <rPr>
            <sz val="9"/>
            <color indexed="81"/>
            <rFont val="Tahoma"/>
            <family val="2"/>
          </rPr>
          <t>Input Total Score for SW3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13" authorId="0" shapeId="0" xr:uid="{85B62857-40BB-4DCF-9FB2-41FD4857A9A2}">
      <text>
        <r>
          <rPr>
            <sz val="9"/>
            <color indexed="81"/>
            <rFont val="Tahoma"/>
            <family val="2"/>
          </rPr>
          <t xml:space="preserve">Input Percentage for SW3
</t>
        </r>
      </text>
    </comment>
    <comment ref="AF13" authorId="0" shapeId="0" xr:uid="{11726E28-F831-49F9-9A41-11949B79A69F}">
      <text>
        <r>
          <rPr>
            <b/>
            <sz val="9"/>
            <color indexed="81"/>
            <rFont val="Tahoma"/>
            <family val="2"/>
          </rPr>
          <t>Percentage for Activities, Seatwork, Homework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3" authorId="0" shapeId="0" xr:uid="{2DD0103E-FD2F-4F72-8BB2-531DA6B648FE}">
      <text>
        <r>
          <rPr>
            <sz val="9"/>
            <color indexed="81"/>
            <rFont val="Tahoma"/>
            <family val="2"/>
          </rPr>
          <t xml:space="preserve">Input Total Score for Q1
</t>
        </r>
      </text>
    </comment>
    <comment ref="AJ13" authorId="0" shapeId="0" xr:uid="{AEBAF342-20F2-42FC-B056-63CFEDD71211}">
      <text>
        <r>
          <rPr>
            <sz val="9"/>
            <color indexed="81"/>
            <rFont val="Tahoma"/>
            <family val="2"/>
          </rPr>
          <t>Input Percentage for Q1</t>
        </r>
      </text>
    </comment>
    <comment ref="AK13" authorId="0" shapeId="0" xr:uid="{0CA599C4-4AE7-451A-8852-0BBFDBF87FAF}">
      <text>
        <r>
          <rPr>
            <sz val="9"/>
            <color indexed="81"/>
            <rFont val="Tahoma"/>
            <family val="2"/>
          </rPr>
          <t xml:space="preserve">Input Total Score for Q2
</t>
        </r>
      </text>
    </comment>
    <comment ref="AN13" authorId="0" shapeId="0" xr:uid="{B1549D9F-6537-4994-8BCB-372412CAAD7A}">
      <text>
        <r>
          <rPr>
            <sz val="9"/>
            <color indexed="81"/>
            <rFont val="Tahoma"/>
            <family val="2"/>
          </rPr>
          <t xml:space="preserve">Input Percentage for Q2
</t>
        </r>
      </text>
    </comment>
    <comment ref="AO13" authorId="0" shapeId="0" xr:uid="{A18DFF45-44FC-4013-AED5-5897CA14B418}">
      <text>
        <r>
          <rPr>
            <sz val="9"/>
            <color indexed="81"/>
            <rFont val="Tahoma"/>
            <family val="2"/>
          </rPr>
          <t xml:space="preserve">Input Total Score for Q3
</t>
        </r>
      </text>
    </comment>
    <comment ref="AR13" authorId="0" shapeId="0" xr:uid="{A8BB455D-4345-45F1-8C7E-E6DC695E8D48}">
      <text>
        <r>
          <rPr>
            <sz val="9"/>
            <color indexed="81"/>
            <rFont val="Tahoma"/>
            <family val="2"/>
          </rPr>
          <t xml:space="preserve">Input Percentage for Q3
</t>
        </r>
      </text>
    </comment>
    <comment ref="AS13" authorId="0" shapeId="0" xr:uid="{344425C7-FC65-47F8-A989-5BAA5D2BF347}">
      <text>
        <r>
          <rPr>
            <b/>
            <sz val="9"/>
            <color indexed="81"/>
            <rFont val="Tahoma"/>
            <family val="2"/>
          </rPr>
          <t>Percentage for Quizzes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" authorId="0" shapeId="0" xr:uid="{6DE4942C-2E18-4AA9-808E-CB12C42DBA4E}">
      <text>
        <r>
          <rPr>
            <b/>
            <sz val="9"/>
            <color indexed="81"/>
            <rFont val="Tahoma"/>
            <family val="2"/>
          </rPr>
          <t>Percentage for Project 1</t>
        </r>
      </text>
    </comment>
    <comment ref="BB13" authorId="0" shapeId="0" xr:uid="{1DA14866-884A-4F5B-BB3C-ED941BE89E60}">
      <text>
        <r>
          <rPr>
            <sz val="9"/>
            <color indexed="81"/>
            <rFont val="Tahoma"/>
            <family val="2"/>
          </rPr>
          <t xml:space="preserve">Input Total Score for Plate1
</t>
        </r>
      </text>
    </comment>
    <comment ref="BE13" authorId="0" shapeId="0" xr:uid="{5B5B8FF8-D615-4A73-B93F-5CA823396577}">
      <text>
        <r>
          <rPr>
            <sz val="9"/>
            <color indexed="81"/>
            <rFont val="Tahoma"/>
            <family val="2"/>
          </rPr>
          <t xml:space="preserve">Input Percentage for Plate1
</t>
        </r>
      </text>
    </comment>
    <comment ref="BF13" authorId="0" shapeId="0" xr:uid="{5409BE61-37C9-4D7D-A311-83F411B6C7B2}">
      <text>
        <r>
          <rPr>
            <sz val="9"/>
            <color indexed="81"/>
            <rFont val="Tahoma"/>
            <family val="2"/>
          </rPr>
          <t xml:space="preserve">Input Total Score for Plate 2
</t>
        </r>
      </text>
    </comment>
    <comment ref="BI13" authorId="0" shapeId="0" xr:uid="{824A0069-507B-4A21-BBA2-D90E13497F49}">
      <text>
        <r>
          <rPr>
            <sz val="9"/>
            <color indexed="81"/>
            <rFont val="Tahoma"/>
            <family val="2"/>
          </rPr>
          <t xml:space="preserve">Input Percentage for Plate2
</t>
        </r>
      </text>
    </comment>
    <comment ref="BJ13" authorId="0" shapeId="0" xr:uid="{EB3AEC50-A085-4EB3-8FDC-DAD2F1A7DF02}">
      <text>
        <r>
          <rPr>
            <sz val="9"/>
            <color indexed="81"/>
            <rFont val="Tahoma"/>
            <family val="2"/>
          </rPr>
          <t xml:space="preserve">Input Total Score for Plate 3
</t>
        </r>
      </text>
    </comment>
    <comment ref="BM13" authorId="0" shapeId="0" xr:uid="{8619621D-B89B-4702-8B83-392E308A1B30}">
      <text>
        <r>
          <rPr>
            <sz val="9"/>
            <color indexed="81"/>
            <rFont val="Tahoma"/>
            <family val="2"/>
          </rPr>
          <t xml:space="preserve">Input Percentage for Plate3
</t>
        </r>
      </text>
    </comment>
    <comment ref="BN13" authorId="0" shapeId="0" xr:uid="{286DF4B4-AE90-4AEF-9E77-47761A13DABB}">
      <text>
        <r>
          <rPr>
            <b/>
            <sz val="9"/>
            <color indexed="81"/>
            <rFont val="Tahoma"/>
            <family val="2"/>
          </rPr>
          <t xml:space="preserve">Input Percentage for Plates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D987342A-08BF-4E61-96C1-F6E24FA82196}">
      <text>
        <r>
          <rPr>
            <sz val="9"/>
            <color indexed="81"/>
            <rFont val="Tahoma"/>
            <family val="2"/>
          </rPr>
          <t xml:space="preserve">Input Raw for Exam
</t>
        </r>
      </text>
    </comment>
    <comment ref="H14" authorId="0" shapeId="0" xr:uid="{7B57B0EB-3DA1-47B3-BA03-0396E890DF17}">
      <text>
        <r>
          <rPr>
            <b/>
            <sz val="9"/>
            <color indexed="81"/>
            <rFont val="Tahoma"/>
            <family val="2"/>
          </rPr>
          <t xml:space="preserve">Input
</t>
        </r>
        <r>
          <rPr>
            <sz val="9"/>
            <color indexed="81"/>
            <rFont val="Tahoma"/>
            <family val="2"/>
          </rPr>
          <t>P - Present
A - Absent
L - Late
E - Excuse</t>
        </r>
        <r>
          <rPr>
            <sz val="9"/>
            <color indexed="81"/>
            <rFont val="Tahoma"/>
            <family val="2"/>
          </rPr>
          <t xml:space="preserve">
3 Lates = 1 Absent
</t>
        </r>
      </text>
    </comment>
    <comment ref="C56" authorId="0" shapeId="0" xr:uid="{101F758F-F30D-4241-81B8-234425FAEFE3}">
      <text>
        <r>
          <rPr>
            <b/>
            <sz val="9"/>
            <color indexed="81"/>
            <rFont val="Tahoma"/>
            <family val="2"/>
          </rPr>
          <t>Name of Instructor</t>
        </r>
        <r>
          <rPr>
            <sz val="9"/>
            <color indexed="81"/>
            <rFont val="Tahoma"/>
            <family val="2"/>
          </rPr>
          <t xml:space="preserve">
e.g. ENGR. JUAN A. DELA CRUZ</t>
        </r>
      </text>
    </comment>
    <comment ref="C61" authorId="0" shapeId="0" xr:uid="{6B546FF8-0C18-4919-BF97-250DB19C6508}">
      <text>
        <r>
          <rPr>
            <b/>
            <sz val="9"/>
            <color indexed="81"/>
            <rFont val="Tahoma"/>
            <family val="2"/>
          </rPr>
          <t>Name of Program Chair</t>
        </r>
        <r>
          <rPr>
            <sz val="9"/>
            <color indexed="81"/>
            <rFont val="Tahoma"/>
            <family val="2"/>
          </rPr>
          <t xml:space="preserve">
e.g. ENGR. JOSE B. DELA PEÑA</t>
        </r>
      </text>
    </comment>
    <comment ref="C62" authorId="0" shapeId="0" xr:uid="{36A3323E-89A5-4B17-832A-0D290574572E}">
      <text>
        <r>
          <rPr>
            <sz val="9"/>
            <color indexed="81"/>
            <rFont val="Tahoma"/>
            <family val="2"/>
          </rPr>
          <t>Program Chair, CE
Program Chair, GE
Program Chair, CpE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 Morato</author>
  </authors>
  <commentList>
    <comment ref="C7" authorId="0" shapeId="0" xr:uid="{7154A120-7F27-4AE4-87C8-A1B0269F9F85}">
      <text>
        <r>
          <rPr>
            <b/>
            <sz val="9"/>
            <color indexed="81"/>
            <rFont val="Tahoma"/>
            <family val="2"/>
          </rPr>
          <t xml:space="preserve">Subject Code / Subject Name
</t>
        </r>
        <r>
          <rPr>
            <sz val="9"/>
            <color indexed="81"/>
            <rFont val="Tahoma"/>
            <family val="2"/>
          </rPr>
          <t>e.g.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MATH 213 / Differential Equations</t>
        </r>
      </text>
    </comment>
    <comment ref="BS7" authorId="0" shapeId="0" xr:uid="{1E0CB8F5-26BE-4451-B8A6-A588A626F140}">
      <text>
        <r>
          <rPr>
            <b/>
            <sz val="9"/>
            <color indexed="81"/>
            <rFont val="Tahoma"/>
            <family val="2"/>
          </rPr>
          <t>Course / Section</t>
        </r>
        <r>
          <rPr>
            <sz val="9"/>
            <color indexed="81"/>
            <rFont val="Tahoma"/>
            <family val="2"/>
          </rPr>
          <t xml:space="preserve">
e.g. BSCE / 2B</t>
        </r>
      </text>
    </comment>
    <comment ref="C8" authorId="0" shapeId="0" xr:uid="{3C2155F1-1948-4D5C-A709-49AC40B175E1}">
      <text>
        <r>
          <rPr>
            <b/>
            <sz val="9"/>
            <color indexed="81"/>
            <rFont val="Tahoma"/>
            <family val="2"/>
          </rPr>
          <t>Instructor:</t>
        </r>
        <r>
          <rPr>
            <sz val="9"/>
            <color indexed="81"/>
            <rFont val="Tahoma"/>
            <family val="2"/>
          </rPr>
          <t xml:space="preserve">
e.g. Engr. Juan Dela Cruz</t>
        </r>
      </text>
    </comment>
    <comment ref="AT8" authorId="0" shapeId="0" xr:uid="{025906D1-B307-4C3B-AC48-E923B62E1521}">
      <text>
        <r>
          <rPr>
            <b/>
            <sz val="9"/>
            <color indexed="81"/>
            <rFont val="Tahoma"/>
            <family val="2"/>
          </rPr>
          <t xml:space="preserve">Subject Units
</t>
        </r>
        <r>
          <rPr>
            <sz val="9"/>
            <color indexed="81"/>
            <rFont val="Tahoma"/>
            <family val="2"/>
          </rPr>
          <t>e.g. 3</t>
        </r>
      </text>
    </comment>
    <comment ref="BO8" authorId="0" shapeId="0" xr:uid="{3299DCAD-5345-4417-9716-EF14F4E5EE20}">
      <text>
        <r>
          <rPr>
            <b/>
            <sz val="9"/>
            <color indexed="81"/>
            <rFont val="Tahoma"/>
            <family val="2"/>
          </rPr>
          <t>Time Schedule</t>
        </r>
        <r>
          <rPr>
            <sz val="9"/>
            <color indexed="81"/>
            <rFont val="Tahoma"/>
            <family val="2"/>
          </rPr>
          <t xml:space="preserve">
e.g. 7:30 AM - 9:00 AM</t>
        </r>
      </text>
    </comment>
    <comment ref="BS8" authorId="0" shapeId="0" xr:uid="{937323BC-18CD-48EA-8808-82D98602333F}">
      <text>
        <r>
          <rPr>
            <b/>
            <sz val="9"/>
            <color indexed="81"/>
            <rFont val="Tahoma"/>
            <family val="2"/>
          </rPr>
          <t>Days</t>
        </r>
        <r>
          <rPr>
            <sz val="9"/>
            <color indexed="81"/>
            <rFont val="Tahoma"/>
            <family val="2"/>
          </rPr>
          <t xml:space="preserve">
e.g. Monday/Wednesday</t>
        </r>
      </text>
    </comment>
    <comment ref="D10" authorId="0" shapeId="0" xr:uid="{FD087CFF-0D93-4949-B395-232A429AFAE6}">
      <text>
        <r>
          <rPr>
            <sz val="9"/>
            <color indexed="81"/>
            <rFont val="Tahoma"/>
            <family val="2"/>
          </rPr>
          <t xml:space="preserve">Total Percentage for Examination 
Must be </t>
        </r>
        <r>
          <rPr>
            <b/>
            <sz val="9"/>
            <color indexed="81"/>
            <rFont val="Tahoma"/>
            <family val="2"/>
          </rPr>
          <t>50%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934EBC96-C74A-4686-BD79-BB16EA5D45A4}">
      <text>
        <r>
          <rPr>
            <b/>
            <sz val="9"/>
            <color indexed="81"/>
            <rFont val="Tahoma"/>
            <family val="2"/>
          </rPr>
          <t>Admin: 
Total Percentage for Class Standing 
Must be 35%</t>
        </r>
      </text>
    </comment>
    <comment ref="AW10" authorId="0" shapeId="0" xr:uid="{2845E161-184A-4AC9-9AFF-6D162A2D320A}">
      <text>
        <r>
          <rPr>
            <b/>
            <sz val="9"/>
            <color indexed="81"/>
            <rFont val="Tahoma"/>
            <family val="2"/>
          </rPr>
          <t>Admin: 
Total Percentage for Project 
Must be 15%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S10" authorId="0" shapeId="0" xr:uid="{A624747F-A910-4705-BD72-4227790E0D81}">
      <text>
        <r>
          <rPr>
            <sz val="9"/>
            <color indexed="81"/>
            <rFont val="Tahoma"/>
            <family val="2"/>
          </rPr>
          <t xml:space="preserve">Change Every Period
</t>
        </r>
      </text>
    </comment>
    <comment ref="AW11" authorId="0" shapeId="0" xr:uid="{E01CE7F0-7EC0-4524-9D80-E4F6BF6F0E05}">
      <text>
        <r>
          <rPr>
            <sz val="9"/>
            <color indexed="81"/>
            <rFont val="Tahoma"/>
            <family val="2"/>
          </rPr>
          <t xml:space="preserve">If other requirement other than notebook, Change the word "Notebook" in the Formula.
</t>
        </r>
      </text>
    </comment>
    <comment ref="BQ11" authorId="0" shapeId="0" xr:uid="{9841D926-1B40-4E57-8BAB-214E03A8B200}">
      <text>
        <r>
          <rPr>
            <b/>
            <sz val="9"/>
            <color indexed="81"/>
            <rFont val="Tahoma"/>
            <family val="2"/>
          </rPr>
          <t>Total Percentage for Project 
Must be 15%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EE9507E0-C70B-408D-A222-8F7A5D6C4196}">
      <text>
        <r>
          <rPr>
            <sz val="9"/>
            <color indexed="81"/>
            <rFont val="Tahoma"/>
            <family val="2"/>
          </rPr>
          <t>Input Number of Items in Examination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 shapeId="0" xr:uid="{2CEAB7CB-4430-4F26-A221-9FBCC8262428}">
      <text>
        <r>
          <rPr>
            <sz val="9"/>
            <color indexed="81"/>
            <rFont val="Tahoma"/>
            <family val="2"/>
          </rPr>
          <t xml:space="preserve">Total Percentage for Exam  
Must be </t>
        </r>
        <r>
          <rPr>
            <b/>
            <sz val="9"/>
            <color indexed="81"/>
            <rFont val="Tahoma"/>
            <family val="2"/>
          </rPr>
          <t>50%</t>
        </r>
      </text>
    </comment>
    <comment ref="Q12" authorId="0" shapeId="0" xr:uid="{F927B0F4-C260-4C88-BFD9-EF47C95CD51A}">
      <text>
        <r>
          <rPr>
            <b/>
            <sz val="9"/>
            <color indexed="81"/>
            <rFont val="Tahoma"/>
            <family val="2"/>
          </rPr>
          <t>Hours per Meeting</t>
        </r>
        <r>
          <rPr>
            <sz val="9"/>
            <color indexed="81"/>
            <rFont val="Tahoma"/>
            <family val="2"/>
          </rPr>
          <t xml:space="preserve">
e.g. 1.5</t>
        </r>
      </text>
    </comment>
    <comment ref="P13" authorId="0" shapeId="0" xr:uid="{5AC49CFD-C8A9-4CA7-8AEA-3B8908249B5D}">
      <text>
        <r>
          <rPr>
            <b/>
            <sz val="9"/>
            <color indexed="81"/>
            <rFont val="Tahoma"/>
            <family val="2"/>
          </rPr>
          <t>Demerit Points</t>
        </r>
        <r>
          <rPr>
            <sz val="9"/>
            <color indexed="81"/>
            <rFont val="Tahoma"/>
            <family val="2"/>
          </rPr>
          <t xml:space="preserve"> 
Look at Table 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3" authorId="0" shapeId="0" xr:uid="{094A608B-B0DA-4BF5-8D82-9EC7A5E3049E}">
      <text>
        <r>
          <rPr>
            <b/>
            <sz val="9"/>
            <color indexed="81"/>
            <rFont val="Tahoma"/>
            <family val="2"/>
          </rPr>
          <t xml:space="preserve">Fixed Value (5%)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3" authorId="0" shapeId="0" xr:uid="{F82F12A2-6021-4720-B755-5CD8C4A18396}">
      <text>
        <r>
          <rPr>
            <sz val="9"/>
            <color indexed="81"/>
            <rFont val="Tahoma"/>
            <family val="2"/>
          </rPr>
          <t>Input Total Score for SW1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0" shapeId="0" xr:uid="{45FC21F1-7181-4602-AB42-E4CF3E6A4DAC}">
      <text>
        <r>
          <rPr>
            <sz val="9"/>
            <color indexed="81"/>
            <rFont val="Tahoma"/>
            <family val="2"/>
          </rPr>
          <t>Input Percentage for SW1</t>
        </r>
      </text>
    </comment>
    <comment ref="X13" authorId="0" shapeId="0" xr:uid="{73FC7D2D-47BD-46D8-8105-5AB5CABACED7}">
      <text>
        <r>
          <rPr>
            <sz val="9"/>
            <color indexed="81"/>
            <rFont val="Tahoma"/>
            <family val="2"/>
          </rPr>
          <t>Input Total Score for SW2</t>
        </r>
      </text>
    </comment>
    <comment ref="AA13" authorId="0" shapeId="0" xr:uid="{4CDDACE0-C54A-4AF3-ABB7-F98200370B3C}">
      <text>
        <r>
          <rPr>
            <sz val="9"/>
            <color indexed="81"/>
            <rFont val="Tahoma"/>
            <family val="2"/>
          </rPr>
          <t xml:space="preserve">Input Percentage for SW1
</t>
        </r>
      </text>
    </comment>
    <comment ref="AB13" authorId="0" shapeId="0" xr:uid="{3AB9BCAF-5FBA-428A-94E5-4DA2536B15DD}">
      <text>
        <r>
          <rPr>
            <sz val="9"/>
            <color indexed="81"/>
            <rFont val="Tahoma"/>
            <family val="2"/>
          </rPr>
          <t>Input Total Score for SW3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13" authorId="0" shapeId="0" xr:uid="{A4A1D3DA-F448-41BF-943A-98D3B8E07BE3}">
      <text>
        <r>
          <rPr>
            <sz val="9"/>
            <color indexed="81"/>
            <rFont val="Tahoma"/>
            <family val="2"/>
          </rPr>
          <t xml:space="preserve">Input Percentage for SW3
</t>
        </r>
      </text>
    </comment>
    <comment ref="AF13" authorId="0" shapeId="0" xr:uid="{2283B7FB-AC3A-4D27-B78A-70F664A6DFD4}">
      <text>
        <r>
          <rPr>
            <b/>
            <sz val="9"/>
            <color indexed="81"/>
            <rFont val="Tahoma"/>
            <family val="2"/>
          </rPr>
          <t>Percentage for Activities, Seatwork, Homework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3" authorId="0" shapeId="0" xr:uid="{C6ED759B-E20B-42F7-B8E6-9EDEC6B3E9AF}">
      <text>
        <r>
          <rPr>
            <sz val="9"/>
            <color indexed="81"/>
            <rFont val="Tahoma"/>
            <family val="2"/>
          </rPr>
          <t xml:space="preserve">Input Total Score for Q1
</t>
        </r>
      </text>
    </comment>
    <comment ref="AJ13" authorId="0" shapeId="0" xr:uid="{AC54AE1A-8CE6-454F-8C87-EE4E3DA52213}">
      <text>
        <r>
          <rPr>
            <sz val="9"/>
            <color indexed="81"/>
            <rFont val="Tahoma"/>
            <family val="2"/>
          </rPr>
          <t>Input Percentage for Q1</t>
        </r>
      </text>
    </comment>
    <comment ref="AK13" authorId="0" shapeId="0" xr:uid="{AC64C2B3-D551-4040-A927-2633ED1CAC00}">
      <text>
        <r>
          <rPr>
            <sz val="9"/>
            <color indexed="81"/>
            <rFont val="Tahoma"/>
            <family val="2"/>
          </rPr>
          <t xml:space="preserve">Input Total Score for Q2
</t>
        </r>
      </text>
    </comment>
    <comment ref="AN13" authorId="0" shapeId="0" xr:uid="{75B74420-7A98-4B31-BA80-2DB9A9E28982}">
      <text>
        <r>
          <rPr>
            <sz val="9"/>
            <color indexed="81"/>
            <rFont val="Tahoma"/>
            <family val="2"/>
          </rPr>
          <t xml:space="preserve">Input Percentage for Q2
</t>
        </r>
      </text>
    </comment>
    <comment ref="AO13" authorId="0" shapeId="0" xr:uid="{828FCCA3-4C22-4AF9-923C-5DC784DD3A83}">
      <text>
        <r>
          <rPr>
            <sz val="9"/>
            <color indexed="81"/>
            <rFont val="Tahoma"/>
            <family val="2"/>
          </rPr>
          <t xml:space="preserve">Input Total Score for Q3
</t>
        </r>
      </text>
    </comment>
    <comment ref="AR13" authorId="0" shapeId="0" xr:uid="{07B20E30-515B-448A-855C-B143FB0E289B}">
      <text>
        <r>
          <rPr>
            <sz val="9"/>
            <color indexed="81"/>
            <rFont val="Tahoma"/>
            <family val="2"/>
          </rPr>
          <t xml:space="preserve">Input Percentage for Q3
</t>
        </r>
      </text>
    </comment>
    <comment ref="AS13" authorId="0" shapeId="0" xr:uid="{F93B46DD-2E44-4C53-BC74-21FE9343B5AC}">
      <text>
        <r>
          <rPr>
            <b/>
            <sz val="9"/>
            <color indexed="81"/>
            <rFont val="Tahoma"/>
            <family val="2"/>
          </rPr>
          <t>Percentage for Quizzes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3" authorId="0" shapeId="0" xr:uid="{55FD759D-B067-4F18-A90C-3EAAF800A900}">
      <text>
        <r>
          <rPr>
            <b/>
            <sz val="9"/>
            <color indexed="81"/>
            <rFont val="Tahoma"/>
            <family val="2"/>
          </rPr>
          <t>Percentage for Project 1</t>
        </r>
      </text>
    </comment>
    <comment ref="BB13" authorId="0" shapeId="0" xr:uid="{7C7D939D-037F-497B-BA00-F67FFF293005}">
      <text>
        <r>
          <rPr>
            <sz val="9"/>
            <color indexed="81"/>
            <rFont val="Tahoma"/>
            <family val="2"/>
          </rPr>
          <t xml:space="preserve">Input Total Score for Plate1
</t>
        </r>
      </text>
    </comment>
    <comment ref="BE13" authorId="0" shapeId="0" xr:uid="{6C5F31DE-C27B-4115-92EB-4C8D39FD4F17}">
      <text>
        <r>
          <rPr>
            <sz val="9"/>
            <color indexed="81"/>
            <rFont val="Tahoma"/>
            <family val="2"/>
          </rPr>
          <t xml:space="preserve">Input Percentage for Plate1
</t>
        </r>
      </text>
    </comment>
    <comment ref="BF13" authorId="0" shapeId="0" xr:uid="{414D68E4-9F13-4E40-BD75-E3FA6639DE5B}">
      <text>
        <r>
          <rPr>
            <sz val="9"/>
            <color indexed="81"/>
            <rFont val="Tahoma"/>
            <family val="2"/>
          </rPr>
          <t xml:space="preserve">Input Total Score for Plate 2
</t>
        </r>
      </text>
    </comment>
    <comment ref="BI13" authorId="0" shapeId="0" xr:uid="{042754C6-3D5A-4C06-99A3-50C55A39C1E1}">
      <text>
        <r>
          <rPr>
            <sz val="9"/>
            <color indexed="81"/>
            <rFont val="Tahoma"/>
            <family val="2"/>
          </rPr>
          <t xml:space="preserve">Input Percentage for Plate2
</t>
        </r>
      </text>
    </comment>
    <comment ref="BJ13" authorId="0" shapeId="0" xr:uid="{91939600-E489-4254-A792-F4C3B7EB6932}">
      <text>
        <r>
          <rPr>
            <sz val="9"/>
            <color indexed="81"/>
            <rFont val="Tahoma"/>
            <family val="2"/>
          </rPr>
          <t xml:space="preserve">Input Total Score for Plate 3
</t>
        </r>
      </text>
    </comment>
    <comment ref="BM13" authorId="0" shapeId="0" xr:uid="{5A74F6E6-1D99-456F-AC6A-CF50537A8B15}">
      <text>
        <r>
          <rPr>
            <sz val="9"/>
            <color indexed="81"/>
            <rFont val="Tahoma"/>
            <family val="2"/>
          </rPr>
          <t xml:space="preserve">Input Percentage for Plate3
</t>
        </r>
      </text>
    </comment>
    <comment ref="BN13" authorId="0" shapeId="0" xr:uid="{3462C46E-9AD9-45ED-A891-B7B656E78FCF}">
      <text>
        <r>
          <rPr>
            <b/>
            <sz val="9"/>
            <color indexed="81"/>
            <rFont val="Tahoma"/>
            <family val="2"/>
          </rPr>
          <t xml:space="preserve">Input Percentage for Plates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5968162B-B571-4EFE-B7CA-467C1CCFCE75}">
      <text>
        <r>
          <rPr>
            <sz val="9"/>
            <color indexed="81"/>
            <rFont val="Tahoma"/>
            <family val="2"/>
          </rPr>
          <t xml:space="preserve">Input Raw for Exam
</t>
        </r>
      </text>
    </comment>
    <comment ref="H14" authorId="0" shapeId="0" xr:uid="{6C373591-EADB-4C8A-AE5E-35A7EB734227}">
      <text>
        <r>
          <rPr>
            <b/>
            <sz val="9"/>
            <color indexed="81"/>
            <rFont val="Tahoma"/>
            <family val="2"/>
          </rPr>
          <t xml:space="preserve">Input
</t>
        </r>
        <r>
          <rPr>
            <sz val="9"/>
            <color indexed="81"/>
            <rFont val="Tahoma"/>
            <family val="2"/>
          </rPr>
          <t>P - Present
A - Absent
L - Late
E - Excuse</t>
        </r>
        <r>
          <rPr>
            <sz val="9"/>
            <color indexed="81"/>
            <rFont val="Tahoma"/>
            <family val="2"/>
          </rPr>
          <t xml:space="preserve">
3 Lates = 1 Absent
</t>
        </r>
      </text>
    </comment>
    <comment ref="C56" authorId="0" shapeId="0" xr:uid="{CA711EB9-41E8-42A9-B210-6D38A418D913}">
      <text>
        <r>
          <rPr>
            <b/>
            <sz val="9"/>
            <color indexed="81"/>
            <rFont val="Tahoma"/>
            <family val="2"/>
          </rPr>
          <t>Name of Instructor</t>
        </r>
        <r>
          <rPr>
            <sz val="9"/>
            <color indexed="81"/>
            <rFont val="Tahoma"/>
            <family val="2"/>
          </rPr>
          <t xml:space="preserve">
e.g. ENGR. JUAN A. DELA CRUZ</t>
        </r>
      </text>
    </comment>
    <comment ref="C61" authorId="0" shapeId="0" xr:uid="{18961392-FC70-49F2-9378-D6CA11DEAD81}">
      <text>
        <r>
          <rPr>
            <b/>
            <sz val="9"/>
            <color indexed="81"/>
            <rFont val="Tahoma"/>
            <family val="2"/>
          </rPr>
          <t>Name of Program Chair</t>
        </r>
        <r>
          <rPr>
            <sz val="9"/>
            <color indexed="81"/>
            <rFont val="Tahoma"/>
            <family val="2"/>
          </rPr>
          <t xml:space="preserve">
e.g. ENGR. JOSE B. DELA PEÑA</t>
        </r>
      </text>
    </comment>
    <comment ref="C62" authorId="0" shapeId="0" xr:uid="{A368185E-F8EA-40A3-9B1F-A9ED3AF39C2E}">
      <text>
        <r>
          <rPr>
            <sz val="9"/>
            <color indexed="81"/>
            <rFont val="Tahoma"/>
            <family val="2"/>
          </rPr>
          <t>Program Chair, CE
Program Chair, GE
Program Chair, CpE</t>
        </r>
      </text>
    </comment>
  </commentList>
</comments>
</file>

<file path=xl/sharedStrings.xml><?xml version="1.0" encoding="utf-8"?>
<sst xmlns="http://schemas.openxmlformats.org/spreadsheetml/2006/main" count="297" uniqueCount="114">
  <si>
    <t>No.</t>
  </si>
  <si>
    <t>Name</t>
  </si>
  <si>
    <t>Grade</t>
  </si>
  <si>
    <t>Remarks</t>
  </si>
  <si>
    <t>raw</t>
  </si>
  <si>
    <t>transmuted</t>
  </si>
  <si>
    <t>PR grade</t>
  </si>
  <si>
    <t>Poor</t>
  </si>
  <si>
    <t>Fair</t>
  </si>
  <si>
    <t>Good</t>
  </si>
  <si>
    <t>Very Good</t>
  </si>
  <si>
    <t>Excellent</t>
  </si>
  <si>
    <t>Naga College Foundation, Inc</t>
  </si>
  <si>
    <t>COLLEGE OF ENGINEERING</t>
  </si>
  <si>
    <t>Subj. Code / Title:</t>
  </si>
  <si>
    <t>Credit Unit:</t>
  </si>
  <si>
    <t>Course/Section:</t>
  </si>
  <si>
    <t>Time:</t>
  </si>
  <si>
    <t>Days:</t>
  </si>
  <si>
    <t>Score</t>
  </si>
  <si>
    <t>Abs.</t>
  </si>
  <si>
    <t>Ave 
Q/A</t>
  </si>
  <si>
    <t>Project</t>
  </si>
  <si>
    <t>Ave.
Grade</t>
  </si>
  <si>
    <t>Instructor:</t>
  </si>
  <si>
    <t>EQV</t>
  </si>
  <si>
    <t>RAW</t>
  </si>
  <si>
    <t>TOTAL</t>
  </si>
  <si>
    <t>%</t>
  </si>
  <si>
    <t>WS</t>
  </si>
  <si>
    <t>C1</t>
  </si>
  <si>
    <t>C2</t>
  </si>
  <si>
    <t>ITEMS</t>
  </si>
  <si>
    <t>WG
PE</t>
  </si>
  <si>
    <t>WG
CS</t>
  </si>
  <si>
    <t>WG
Proj.</t>
  </si>
  <si>
    <t>Signature over Printed Name</t>
  </si>
  <si>
    <t>COE Dean</t>
  </si>
  <si>
    <t>DR. MONSITO G. ILARDE</t>
  </si>
  <si>
    <t>Noted by:</t>
  </si>
  <si>
    <t>1st Semester, School Year 2025 - 2026</t>
  </si>
  <si>
    <t>PLATE1.1</t>
  </si>
  <si>
    <t>PLATE1.2</t>
  </si>
  <si>
    <t>PLATE1.3</t>
  </si>
  <si>
    <t>Notes in Using the Table</t>
  </si>
  <si>
    <r>
      <t xml:space="preserve">The final grade is calculated from three components—Class Standing, Project, and Examination—which sum to a total of </t>
    </r>
    <r>
      <rPr>
        <b/>
        <sz val="16"/>
        <color theme="1"/>
        <rFont val="Aptos Narrow"/>
        <family val="2"/>
        <scheme val="minor"/>
      </rPr>
      <t>100%</t>
    </r>
    <r>
      <rPr>
        <sz val="16"/>
        <color theme="1"/>
        <rFont val="Aptos Narrow"/>
        <family val="2"/>
        <scheme val="minor"/>
      </rPr>
      <t>.</t>
    </r>
  </si>
  <si>
    <r>
      <t xml:space="preserve">The specific weights within Class Standing and the Project are adjustable, but Attendance is fixed at </t>
    </r>
    <r>
      <rPr>
        <b/>
        <sz val="16"/>
        <color theme="1"/>
        <rFont val="Aptos Narrow"/>
        <family val="2"/>
        <scheme val="minor"/>
      </rPr>
      <t>5%</t>
    </r>
    <r>
      <rPr>
        <sz val="16"/>
        <color theme="1"/>
        <rFont val="Aptos Narrow"/>
        <family val="2"/>
        <scheme val="minor"/>
      </rPr>
      <t xml:space="preserve"> of the final grade.</t>
    </r>
  </si>
  <si>
    <r>
      <t xml:space="preserve">For further assistance, ask the </t>
    </r>
    <r>
      <rPr>
        <b/>
        <sz val="16"/>
        <color theme="1"/>
        <rFont val="Aptos Narrow"/>
        <family val="2"/>
        <scheme val="minor"/>
      </rPr>
      <t>ADMIN</t>
    </r>
    <r>
      <rPr>
        <sz val="16"/>
        <color theme="1"/>
        <rFont val="Aptos Narrow"/>
        <family val="2"/>
        <scheme val="minor"/>
      </rPr>
      <t>.</t>
    </r>
  </si>
  <si>
    <r>
      <t xml:space="preserve">For Freezing Panes, put click cell </t>
    </r>
    <r>
      <rPr>
        <b/>
        <sz val="16"/>
        <color theme="1"/>
        <rFont val="Aptos Narrow"/>
        <family val="2"/>
        <scheme val="minor"/>
      </rPr>
      <t>D14</t>
    </r>
    <r>
      <rPr>
        <sz val="16"/>
        <color theme="1"/>
        <rFont val="Aptos Narrow"/>
        <family val="2"/>
        <scheme val="minor"/>
      </rPr>
      <t>, Freeze Panes, Freeze Panes</t>
    </r>
  </si>
  <si>
    <t>Grading 1</t>
  </si>
  <si>
    <t>Exam</t>
  </si>
  <si>
    <t>Class Standing</t>
  </si>
  <si>
    <t>Grading 2</t>
  </si>
  <si>
    <t>Attendance</t>
  </si>
  <si>
    <t>Activity</t>
  </si>
  <si>
    <t>Quizzes</t>
  </si>
  <si>
    <t>Notebook</t>
  </si>
  <si>
    <t>Plates</t>
  </si>
  <si>
    <t>Hide these Columns</t>
  </si>
  <si>
    <t>Hide these Rows</t>
  </si>
  <si>
    <r>
      <t xml:space="preserve">A mark of </t>
    </r>
    <r>
      <rPr>
        <b/>
        <sz val="16"/>
        <color theme="1"/>
        <rFont val="Aptos Narrow"/>
        <family val="2"/>
        <scheme val="minor"/>
      </rPr>
      <t>'A'</t>
    </r>
    <r>
      <rPr>
        <sz val="16"/>
        <color theme="1"/>
        <rFont val="Aptos Narrow"/>
        <family val="2"/>
        <scheme val="minor"/>
      </rPr>
      <t xml:space="preserve">  will be the official entry on the grade sheet for any requirement that was not submitted. This mark corresponds to a numerical score of zero during grade computation. (Optional)</t>
    </r>
  </si>
  <si>
    <t>Permit</t>
  </si>
  <si>
    <t>Finals
Grade</t>
  </si>
  <si>
    <t>SW4.1</t>
  </si>
  <si>
    <t>Q4.1</t>
  </si>
  <si>
    <r>
      <rPr>
        <b/>
        <u/>
        <sz val="11"/>
        <color theme="1"/>
        <rFont val="Arial Narrow"/>
        <family val="2"/>
      </rPr>
      <t>FINAL</t>
    </r>
    <r>
      <rPr>
        <b/>
        <sz val="11"/>
        <color theme="1"/>
        <rFont val="Arial Narrow"/>
        <family val="2"/>
      </rPr>
      <t xml:space="preserve"> REPORT OF GRADES</t>
    </r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</si>
  <si>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</si>
  <si>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</si>
  <si>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</si>
  <si>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</si>
  <si>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</si>
  <si>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</si>
  <si>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</si>
  <si>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</si>
  <si>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</si>
  <si>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</si>
  <si>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</si>
  <si>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</si>
  <si>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</si>
  <si>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</si>
  <si>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</si>
  <si>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</si>
  <si>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</si>
  <si>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</si>
  <si>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</si>
  <si>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</si>
  <si>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</si>
  <si>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</si>
  <si>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</si>
  <si>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</si>
  <si>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</si>
  <si>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</si>
  <si>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</si>
  <si>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</si>
  <si>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</si>
  <si>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</si>
  <si>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</si>
  <si>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</si>
  <si>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</si>
  <si>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</si>
  <si>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</si>
  <si>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</si>
  <si>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</si>
  <si>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</si>
  <si>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</si>
  <si>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</si>
  <si>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Q4.3</t>
  </si>
  <si>
    <t>Q4.2</t>
  </si>
  <si>
    <t>SW4.2</t>
  </si>
  <si>
    <t>SW4.3</t>
  </si>
  <si>
    <t>ENGR. JOHN KIRK Y. NAVARRETE</t>
  </si>
  <si>
    <t>ENGR. MEL DENIEL BAUTISTA</t>
  </si>
  <si>
    <t>Program Chair, CpE</t>
  </si>
  <si>
    <r>
      <rPr>
        <b/>
        <u/>
        <sz val="11"/>
        <color theme="1"/>
        <rFont val="Arial Narrow"/>
        <family val="2"/>
      </rPr>
      <t>PRELIM</t>
    </r>
    <r>
      <rPr>
        <b/>
        <sz val="11"/>
        <color theme="1"/>
        <rFont val="Arial Narrow"/>
        <family val="2"/>
      </rPr>
      <t xml:space="preserve"> REPORT OF GRADES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</si>
</sst>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sz val="10"/>
      <color theme="1"/>
      <name val="Arial Narrow"/>
      <family val="2"/>
    </font>
    <font>
      <i/>
      <sz val="9"/>
      <color theme="1"/>
      <name val="Arial Narrow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0"/>
      <name val="Arial Narrow"/>
      <family val="2"/>
    </font>
    <font>
      <sz val="22"/>
      <color theme="1"/>
      <name val="Arial Narrow"/>
      <family val="2"/>
    </font>
    <font>
      <sz val="8"/>
      <color theme="1"/>
      <name val="Arial Narrow"/>
      <family val="2"/>
    </font>
    <font>
      <b/>
      <sz val="16"/>
      <color theme="0"/>
      <name val="Arial Narrow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rial Narrow"/>
      <family val="2"/>
    </font>
    <font>
      <sz val="10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0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2" fontId="3" fillId="0" borderId="2" xfId="0" applyNumberFormat="1" applyFont="1" applyBorder="1" applyAlignment="1">
      <alignment horizontal="right" wrapText="1"/>
    </xf>
    <xf numFmtId="2" fontId="3" fillId="0" borderId="2" xfId="1" applyNumberFormat="1" applyFont="1" applyBorder="1" applyAlignment="1">
      <alignment horizontal="right" wrapText="1"/>
    </xf>
    <xf numFmtId="2" fontId="0" fillId="0" borderId="0" xfId="0" applyNumberFormat="1"/>
    <xf numFmtId="0" fontId="3" fillId="0" borderId="2" xfId="0" applyFont="1" applyBorder="1" applyAlignment="1">
      <alignment vertical="center"/>
    </xf>
    <xf numFmtId="2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2" fontId="4" fillId="3" borderId="1" xfId="1" applyNumberFormat="1" applyFont="1" applyFill="1" applyBorder="1"/>
    <xf numFmtId="2" fontId="4" fillId="3" borderId="1" xfId="0" applyNumberFormat="1" applyFont="1" applyFill="1" applyBorder="1"/>
    <xf numFmtId="2" fontId="4" fillId="0" borderId="5" xfId="0" quotePrefix="1" applyNumberFormat="1" applyFont="1" applyBorder="1"/>
    <xf numFmtId="0" fontId="4" fillId="0" borderId="0" xfId="0" applyFont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" fontId="4" fillId="0" borderId="1" xfId="1" applyNumberFormat="1" applyFont="1" applyFill="1" applyBorder="1"/>
    <xf numFmtId="2" fontId="4" fillId="0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0" fontId="5" fillId="11" borderId="1" xfId="1" applyNumberFormat="1" applyFont="1" applyFill="1" applyBorder="1" applyAlignment="1">
      <alignment horizontal="center" vertical="center" wrapText="1"/>
    </xf>
    <xf numFmtId="164" fontId="5" fillId="11" borderId="1" xfId="1" applyNumberFormat="1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right" vertical="center"/>
    </xf>
    <xf numFmtId="0" fontId="4" fillId="0" borderId="6" xfId="0" applyFont="1" applyBorder="1"/>
    <xf numFmtId="2" fontId="4" fillId="3" borderId="5" xfId="1" applyNumberFormat="1" applyFont="1" applyFill="1" applyBorder="1"/>
    <xf numFmtId="2" fontId="5" fillId="11" borderId="1" xfId="0" applyNumberFormat="1" applyFont="1" applyFill="1" applyBorder="1" applyAlignment="1">
      <alignment horizontal="center" vertical="center" wrapText="1"/>
    </xf>
    <xf numFmtId="2" fontId="4" fillId="0" borderId="5" xfId="1" applyNumberFormat="1" applyFont="1" applyFill="1" applyBorder="1"/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8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2" fontId="5" fillId="11" borderId="14" xfId="0" applyNumberFormat="1" applyFont="1" applyFill="1" applyBorder="1" applyAlignment="1">
      <alignment horizontal="center" vertical="center" wrapText="1"/>
    </xf>
    <xf numFmtId="10" fontId="5" fillId="11" borderId="14" xfId="0" applyNumberFormat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0" fontId="5" fillId="6" borderId="1" xfId="1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0" fontId="5" fillId="12" borderId="7" xfId="0" applyFont="1" applyFill="1" applyBorder="1" applyAlignment="1">
      <alignment horizontal="center" vertical="center" wrapText="1"/>
    </xf>
    <xf numFmtId="10" fontId="5" fillId="11" borderId="3" xfId="1" applyNumberFormat="1" applyFont="1" applyFill="1" applyBorder="1" applyAlignment="1">
      <alignment horizontal="center" vertical="center" wrapText="1"/>
    </xf>
    <xf numFmtId="2" fontId="4" fillId="0" borderId="3" xfId="0" applyNumberFormat="1" applyFont="1" applyBorder="1"/>
    <xf numFmtId="10" fontId="5" fillId="8" borderId="1" xfId="1" applyNumberFormat="1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 wrapText="1"/>
    </xf>
    <xf numFmtId="1" fontId="4" fillId="0" borderId="3" xfId="0" quotePrefix="1" applyNumberFormat="1" applyFont="1" applyBorder="1"/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vertical="center"/>
    </xf>
    <xf numFmtId="0" fontId="16" fillId="0" borderId="0" xfId="0" applyFont="1" applyAlignment="1">
      <alignment horizontal="right"/>
    </xf>
    <xf numFmtId="0" fontId="18" fillId="0" borderId="0" xfId="0" applyFont="1"/>
    <xf numFmtId="0" fontId="20" fillId="0" borderId="0" xfId="0" applyFont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0" fontId="0" fillId="0" borderId="16" xfId="0" applyBorder="1"/>
    <xf numFmtId="10" fontId="19" fillId="0" borderId="0" xfId="0" applyNumberFormat="1" applyFont="1"/>
    <xf numFmtId="0" fontId="5" fillId="15" borderId="1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5" fillId="14" borderId="8" xfId="0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9" fontId="5" fillId="13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/>
    </xf>
    <xf numFmtId="9" fontId="5" fillId="11" borderId="14" xfId="0" applyNumberFormat="1" applyFont="1" applyFill="1" applyBorder="1" applyAlignment="1">
      <alignment horizontal="center" vertical="center" wrapText="1"/>
    </xf>
    <xf numFmtId="9" fontId="5" fillId="11" borderId="15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4" fillId="0" borderId="6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4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757"/>
      <color rgb="FFFE6A6A"/>
      <color rgb="FFFF4343"/>
      <color rgb="FFFA837A"/>
      <color rgb="FFFF5050"/>
      <color rgb="FFFFE0C1"/>
      <color rgb="FFFFCC99"/>
      <color rgb="FFFFFFCC"/>
      <color rgb="FFF1EE5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351171</xdr:colOff>
      <xdr:row>1</xdr:row>
      <xdr:rowOff>76200</xdr:rowOff>
    </xdr:from>
    <xdr:to>
      <xdr:col>18</xdr:col>
      <xdr:colOff>422540</xdr:colOff>
      <xdr:row>21</xdr:row>
      <xdr:rowOff>156187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16D12C-4295-4C4A-AF5A-5D3CC3738A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2" t="17543" r="5114" b="12510"/>
        <a:stretch/>
      </xdr:blipFill>
      <xdr:spPr>
        <a:xfrm>
          <a:off x="3006448" y="269631"/>
          <a:ext cx="8605769" cy="3948602"/>
        </a:xfrm>
        <a:prstGeom prst="rect">
          <a:avLst/>
        </a:prstGeom>
      </xdr:spPr>
    </xdr:pic>
    <xdr:clientData/>
  </xdr:twoCellAnchor>
  <xdr:twoCellAnchor editAs="oneCell">
    <xdr:from>
      <xdr:col>4</xdr:col>
      <xdr:colOff>594360</xdr:colOff>
      <xdr:row>22</xdr:row>
      <xdr:rowOff>121920</xdr:rowOff>
    </xdr:from>
    <xdr:to>
      <xdr:col>17</xdr:col>
      <xdr:colOff>441960</xdr:colOff>
      <xdr:row>40</xdr:row>
      <xdr:rowOff>93583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B7D173-9BEC-1EDE-E47A-606AC2EF9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120" y="4312920"/>
          <a:ext cx="7772400" cy="3339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751757</xdr:colOff>
      <xdr:row>0</xdr:row>
      <xdr:rowOff>56455</xdr:rowOff>
    </xdr:from>
    <xdr:to>
      <xdr:col>5</xdr:col>
      <xdr:colOff>105574</xdr:colOff>
      <xdr:row>4</xdr:row>
      <xdr:rowOff>88539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E6D2D-7024-4F1E-BCC8-ECAC8EAB8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437" y="56455"/>
          <a:ext cx="753357" cy="733124"/>
        </a:xfrm>
        <a:prstGeom prst="rect">
          <a:avLst/>
        </a:prstGeom>
      </xdr:spPr>
    </xdr:pic>
    <xdr:clientData/>
  </xdr:twoCellAnchor>
  <xdr:twoCellAnchor editAs="oneCell">
    <xdr:from>
      <xdr:col>66</xdr:col>
      <xdr:colOff>187569</xdr:colOff>
      <xdr:row>0</xdr:row>
      <xdr:rowOff>95845</xdr:rowOff>
    </xdr:from>
    <xdr:to>
      <xdr:col>67</xdr:col>
      <xdr:colOff>386858</xdr:colOff>
      <xdr:row>4</xdr:row>
      <xdr:rowOff>91633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B5F972-49CC-D500-E949-C4FD7036C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0815" y="95845"/>
          <a:ext cx="703385" cy="6991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751757</xdr:colOff>
      <xdr:row>0</xdr:row>
      <xdr:rowOff>56455</xdr:rowOff>
    </xdr:from>
    <xdr:to>
      <xdr:col>5</xdr:col>
      <xdr:colOff>105574</xdr:colOff>
      <xdr:row>4</xdr:row>
      <xdr:rowOff>88539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53037-3BA7-4606-8C29-E7574786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1457" y="56455"/>
          <a:ext cx="755897" cy="733124"/>
        </a:xfrm>
        <a:prstGeom prst="rect">
          <a:avLst/>
        </a:prstGeom>
      </xdr:spPr>
    </xdr:pic>
    <xdr:clientData/>
  </xdr:twoCellAnchor>
  <xdr:twoCellAnchor editAs="oneCell">
    <xdr:from>
      <xdr:col>66</xdr:col>
      <xdr:colOff>187569</xdr:colOff>
      <xdr:row>0</xdr:row>
      <xdr:rowOff>95845</xdr:rowOff>
    </xdr:from>
    <xdr:to>
      <xdr:col>67</xdr:col>
      <xdr:colOff>386858</xdr:colOff>
      <xdr:row>4</xdr:row>
      <xdr:rowOff>91633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49F45D-51F2-4596-8D8C-4CEED69E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6089" y="95845"/>
          <a:ext cx="702209" cy="6968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17AC-60E3-47A8-A0A1-EFF4E77C06AD}">
  <sheetPr>
    <tabColor rgb="FFFF0000"/>
  </sheetPr>
  <dimension ref="B1:F28"/>
  <sheetViews>
    <sheetView showGridLines="0" zoomScale="90" zoomScaleNormal="90" workbookViewId="0">
      <selection activeCell="L14" sqref="L14"/>
    </sheetView>
  </sheetViews>
  <sheetFormatPr defaultRowHeight="14.4" x14ac:dyDescent="0.3"/>
  <cols>
    <col min="1" max="1" width="5.5546875" customWidth="1"/>
    <col min="3" max="3" width="13.5546875" customWidth="1"/>
    <col min="4" max="4" width="10.21875" customWidth="1"/>
    <col min="5" max="5" width="8.21875" customWidth="1"/>
  </cols>
  <sheetData>
    <row r="1" spans="2:6" ht="32.4" customHeight="1" x14ac:dyDescent="0.3">
      <c r="B1" s="50" t="s">
        <v>44</v>
      </c>
    </row>
    <row r="2" spans="2:6" ht="21" x14ac:dyDescent="0.4">
      <c r="B2" s="51">
        <v>1</v>
      </c>
      <c r="C2" s="52" t="s">
        <v>45</v>
      </c>
    </row>
    <row r="3" spans="2:6" ht="21" x14ac:dyDescent="0.4">
      <c r="B3" s="51">
        <v>2</v>
      </c>
      <c r="C3" s="52" t="s">
        <v>46</v>
      </c>
    </row>
    <row r="4" spans="2:6" ht="21" x14ac:dyDescent="0.4">
      <c r="B4" s="51">
        <v>3</v>
      </c>
      <c r="C4" s="52" t="s">
        <v>60</v>
      </c>
    </row>
    <row r="5" spans="2:6" ht="21" x14ac:dyDescent="0.4">
      <c r="B5" s="51">
        <v>4</v>
      </c>
      <c r="C5" s="52" t="s">
        <v>48</v>
      </c>
    </row>
    <row r="6" spans="2:6" ht="21" x14ac:dyDescent="0.4">
      <c r="B6" s="51">
        <v>5</v>
      </c>
      <c r="C6" s="52" t="s">
        <v>47</v>
      </c>
    </row>
    <row r="8" spans="2:6" ht="18" x14ac:dyDescent="0.35">
      <c r="C8" s="53" t="s">
        <v>49</v>
      </c>
    </row>
    <row r="9" spans="2:6" x14ac:dyDescent="0.3">
      <c r="C9" t="s">
        <v>50</v>
      </c>
      <c r="F9" s="54">
        <v>0.5</v>
      </c>
    </row>
    <row r="10" spans="2:6" x14ac:dyDescent="0.3">
      <c r="C10" t="s">
        <v>51</v>
      </c>
      <c r="F10" s="54">
        <v>0.35</v>
      </c>
    </row>
    <row r="11" spans="2:6" x14ac:dyDescent="0.3">
      <c r="D11" t="s">
        <v>53</v>
      </c>
      <c r="E11" s="54">
        <v>0.05</v>
      </c>
      <c r="F11" s="54"/>
    </row>
    <row r="12" spans="2:6" x14ac:dyDescent="0.3">
      <c r="D12" t="s">
        <v>54</v>
      </c>
      <c r="F12" s="54"/>
    </row>
    <row r="13" spans="2:6" x14ac:dyDescent="0.3">
      <c r="D13" t="s">
        <v>55</v>
      </c>
      <c r="F13" s="54"/>
    </row>
    <row r="14" spans="2:6" x14ac:dyDescent="0.3">
      <c r="C14" t="s">
        <v>22</v>
      </c>
      <c r="F14" s="56">
        <v>0.15</v>
      </c>
    </row>
    <row r="15" spans="2:6" x14ac:dyDescent="0.3">
      <c r="D15" t="s">
        <v>56</v>
      </c>
      <c r="F15" s="54"/>
    </row>
    <row r="16" spans="2:6" ht="15" thickBot="1" x14ac:dyDescent="0.35">
      <c r="D16" t="s">
        <v>57</v>
      </c>
      <c r="F16" s="57"/>
    </row>
    <row r="17" spans="3:6" x14ac:dyDescent="0.3">
      <c r="F17" s="58">
        <f>SUM(F9:F15)</f>
        <v>1</v>
      </c>
    </row>
    <row r="19" spans="3:6" ht="18" x14ac:dyDescent="0.35">
      <c r="C19" s="53" t="s">
        <v>52</v>
      </c>
    </row>
    <row r="20" spans="3:6" x14ac:dyDescent="0.3">
      <c r="C20" t="s">
        <v>50</v>
      </c>
      <c r="F20" s="54">
        <v>0.57499999999999996</v>
      </c>
    </row>
    <row r="21" spans="3:6" x14ac:dyDescent="0.3">
      <c r="C21" t="s">
        <v>51</v>
      </c>
      <c r="F21" s="54">
        <v>0.42499999999999999</v>
      </c>
    </row>
    <row r="22" spans="3:6" x14ac:dyDescent="0.3">
      <c r="D22" t="s">
        <v>53</v>
      </c>
      <c r="E22" s="54">
        <v>0.05</v>
      </c>
      <c r="F22" s="54"/>
    </row>
    <row r="23" spans="3:6" x14ac:dyDescent="0.3">
      <c r="D23" t="s">
        <v>54</v>
      </c>
      <c r="F23" s="54"/>
    </row>
    <row r="24" spans="3:6" x14ac:dyDescent="0.3">
      <c r="D24" t="s">
        <v>55</v>
      </c>
      <c r="F24" s="54"/>
    </row>
    <row r="25" spans="3:6" x14ac:dyDescent="0.3">
      <c r="C25" t="s">
        <v>22</v>
      </c>
      <c r="F25" s="56">
        <v>0</v>
      </c>
    </row>
    <row r="26" spans="3:6" x14ac:dyDescent="0.3">
      <c r="D26" t="s">
        <v>56</v>
      </c>
      <c r="F26" s="56"/>
    </row>
    <row r="27" spans="3:6" x14ac:dyDescent="0.3">
      <c r="D27" t="s">
        <v>57</v>
      </c>
      <c r="F27" s="55"/>
    </row>
    <row r="28" spans="3:6" x14ac:dyDescent="0.3">
      <c r="F28" s="58">
        <f>SUM(F20:F27)</f>
        <v>1</v>
      </c>
    </row>
  </sheetData>
  <sheetProtection algorithmName="SHA-512" hashValue="XjnyWA0kmL7iL+QQ9IeHdsNj7YgNj92wF1f3T1C+gT+NCcWelZhxtV17wSihwJX3wX9bZQCEg81ivp8J9Ztjaw==" saltValue="d3o5AfwHZEaGI1GZA0Twd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28A2-A59C-4488-B7C7-1EB60FE76CB6}">
  <sheetPr codeName="Sheet1">
    <tabColor rgb="FF00B050"/>
  </sheetPr>
  <dimension ref="A1:F32"/>
  <sheetViews>
    <sheetView zoomScaleNormal="100" workbookViewId="0">
      <selection activeCell="V5" sqref="V5"/>
    </sheetView>
  </sheetViews>
  <sheetFormatPr defaultRowHeight="14.4" x14ac:dyDescent="0.3"/>
  <cols>
    <col min="2" max="2" width="11.33203125" customWidth="1"/>
    <col min="4" max="4" width="9.5546875" bestFit="1" customWidth="1"/>
  </cols>
  <sheetData>
    <row r="1" spans="1:6" ht="15" thickBot="1" x14ac:dyDescent="0.35">
      <c r="A1" s="1" t="s">
        <v>4</v>
      </c>
      <c r="B1" s="1" t="s">
        <v>5</v>
      </c>
      <c r="C1" s="1" t="s">
        <v>6</v>
      </c>
      <c r="D1" s="2"/>
    </row>
    <row r="2" spans="1:6" ht="15" thickBot="1" x14ac:dyDescent="0.35">
      <c r="A2" s="3">
        <v>0</v>
      </c>
      <c r="B2" s="4">
        <v>70</v>
      </c>
      <c r="C2" s="3">
        <v>5</v>
      </c>
      <c r="D2" s="2" t="s">
        <v>7</v>
      </c>
      <c r="F2" s="5"/>
    </row>
    <row r="3" spans="1:6" ht="15" thickBot="1" x14ac:dyDescent="0.35">
      <c r="A3" s="3">
        <v>10</v>
      </c>
      <c r="B3" s="4">
        <v>71</v>
      </c>
      <c r="C3" s="3">
        <v>5</v>
      </c>
      <c r="D3" s="2" t="s">
        <v>7</v>
      </c>
      <c r="F3" s="5"/>
    </row>
    <row r="4" spans="1:6" ht="15" thickBot="1" x14ac:dyDescent="0.35">
      <c r="A4" s="3">
        <v>20</v>
      </c>
      <c r="B4" s="4">
        <v>72</v>
      </c>
      <c r="C4" s="3">
        <v>5</v>
      </c>
      <c r="D4" s="2" t="s">
        <v>7</v>
      </c>
      <c r="F4" s="5"/>
    </row>
    <row r="5" spans="1:6" ht="15" thickBot="1" x14ac:dyDescent="0.35">
      <c r="A5" s="3">
        <v>30</v>
      </c>
      <c r="B5" s="4">
        <v>73</v>
      </c>
      <c r="C5" s="3">
        <v>5</v>
      </c>
      <c r="D5" s="2" t="s">
        <v>7</v>
      </c>
      <c r="F5" s="5"/>
    </row>
    <row r="6" spans="1:6" ht="15" thickBot="1" x14ac:dyDescent="0.35">
      <c r="A6" s="3">
        <v>40</v>
      </c>
      <c r="B6" s="4">
        <v>74</v>
      </c>
      <c r="C6" s="3">
        <v>5</v>
      </c>
      <c r="D6" s="2" t="s">
        <v>7</v>
      </c>
      <c r="F6" s="5"/>
    </row>
    <row r="7" spans="1:6" ht="15" thickBot="1" x14ac:dyDescent="0.35">
      <c r="A7" s="3">
        <v>50</v>
      </c>
      <c r="B7" s="4">
        <v>75</v>
      </c>
      <c r="C7" s="3">
        <v>3</v>
      </c>
      <c r="D7" s="2" t="s">
        <v>8</v>
      </c>
      <c r="F7" s="5"/>
    </row>
    <row r="8" spans="1:6" ht="15" thickBot="1" x14ac:dyDescent="0.35">
      <c r="A8" s="3">
        <v>52</v>
      </c>
      <c r="B8" s="4">
        <v>76</v>
      </c>
      <c r="C8" s="3">
        <v>2.9</v>
      </c>
      <c r="D8" s="2" t="s">
        <v>8</v>
      </c>
      <c r="F8" s="5"/>
    </row>
    <row r="9" spans="1:6" ht="15" thickBot="1" x14ac:dyDescent="0.35">
      <c r="A9" s="3">
        <v>54</v>
      </c>
      <c r="B9" s="4">
        <v>77</v>
      </c>
      <c r="C9" s="3">
        <v>2.8</v>
      </c>
      <c r="D9" s="2" t="s">
        <v>8</v>
      </c>
      <c r="F9" s="5"/>
    </row>
    <row r="10" spans="1:6" ht="15" thickBot="1" x14ac:dyDescent="0.35">
      <c r="A10" s="3">
        <v>56</v>
      </c>
      <c r="B10" s="4">
        <v>78</v>
      </c>
      <c r="C10" s="3">
        <v>2.75</v>
      </c>
      <c r="D10" s="2" t="s">
        <v>8</v>
      </c>
      <c r="F10" s="5"/>
    </row>
    <row r="11" spans="1:6" ht="15" thickBot="1" x14ac:dyDescent="0.35">
      <c r="A11" s="3">
        <v>58</v>
      </c>
      <c r="B11" s="4">
        <v>79</v>
      </c>
      <c r="C11" s="3">
        <v>2.7</v>
      </c>
      <c r="D11" s="2" t="s">
        <v>8</v>
      </c>
      <c r="F11" s="5"/>
    </row>
    <row r="12" spans="1:6" ht="15" thickBot="1" x14ac:dyDescent="0.35">
      <c r="A12" s="3">
        <v>60</v>
      </c>
      <c r="B12" s="4">
        <v>80</v>
      </c>
      <c r="C12" s="3">
        <v>2.6</v>
      </c>
      <c r="D12" s="2" t="s">
        <v>9</v>
      </c>
      <c r="F12" s="5"/>
    </row>
    <row r="13" spans="1:6" ht="15" thickBot="1" x14ac:dyDescent="0.35">
      <c r="A13" s="3">
        <v>62</v>
      </c>
      <c r="B13" s="4">
        <v>81</v>
      </c>
      <c r="C13" s="3">
        <v>2.5</v>
      </c>
      <c r="D13" s="2" t="s">
        <v>9</v>
      </c>
      <c r="F13" s="5"/>
    </row>
    <row r="14" spans="1:6" ht="15" thickBot="1" x14ac:dyDescent="0.35">
      <c r="A14" s="3">
        <v>64</v>
      </c>
      <c r="B14" s="4">
        <v>82</v>
      </c>
      <c r="C14" s="3">
        <v>2.4</v>
      </c>
      <c r="D14" s="2" t="s">
        <v>9</v>
      </c>
      <c r="F14" s="5"/>
    </row>
    <row r="15" spans="1:6" ht="15" thickBot="1" x14ac:dyDescent="0.35">
      <c r="A15" s="3">
        <v>66</v>
      </c>
      <c r="B15" s="4">
        <v>83</v>
      </c>
      <c r="C15" s="3">
        <v>2.2999999999999998</v>
      </c>
      <c r="D15" s="2" t="s">
        <v>9</v>
      </c>
      <c r="F15" s="5"/>
    </row>
    <row r="16" spans="1:6" ht="15" thickBot="1" x14ac:dyDescent="0.35">
      <c r="A16" s="3">
        <v>68</v>
      </c>
      <c r="B16" s="4">
        <v>84</v>
      </c>
      <c r="C16" s="3">
        <v>2.25</v>
      </c>
      <c r="D16" s="2" t="s">
        <v>9</v>
      </c>
      <c r="F16" s="5"/>
    </row>
    <row r="17" spans="1:6" ht="15" thickBot="1" x14ac:dyDescent="0.35">
      <c r="A17" s="3">
        <v>70</v>
      </c>
      <c r="B17" s="4">
        <v>85</v>
      </c>
      <c r="C17" s="3">
        <v>2.2000000000000002</v>
      </c>
      <c r="D17" s="2" t="s">
        <v>9</v>
      </c>
      <c r="F17" s="5"/>
    </row>
    <row r="18" spans="1:6" ht="15" thickBot="1" x14ac:dyDescent="0.35">
      <c r="A18" s="3">
        <v>72</v>
      </c>
      <c r="B18" s="4">
        <v>86</v>
      </c>
      <c r="C18" s="3">
        <v>2.1</v>
      </c>
      <c r="D18" s="2" t="s">
        <v>9</v>
      </c>
      <c r="F18" s="5"/>
    </row>
    <row r="19" spans="1:6" ht="15" thickBot="1" x14ac:dyDescent="0.35">
      <c r="A19" s="3">
        <v>74</v>
      </c>
      <c r="B19" s="4">
        <v>87</v>
      </c>
      <c r="C19" s="3">
        <v>2</v>
      </c>
      <c r="D19" s="2" t="s">
        <v>10</v>
      </c>
      <c r="F19" s="5"/>
    </row>
    <row r="20" spans="1:6" ht="15" thickBot="1" x14ac:dyDescent="0.35">
      <c r="A20" s="3">
        <v>77</v>
      </c>
      <c r="B20" s="4">
        <v>88</v>
      </c>
      <c r="C20" s="3">
        <v>1.9</v>
      </c>
      <c r="D20" s="6" t="s">
        <v>10</v>
      </c>
      <c r="F20" s="5"/>
    </row>
    <row r="21" spans="1:6" ht="15" thickBot="1" x14ac:dyDescent="0.35">
      <c r="A21" s="3">
        <v>79</v>
      </c>
      <c r="B21" s="4">
        <v>89</v>
      </c>
      <c r="C21" s="3">
        <v>1.8</v>
      </c>
      <c r="D21" s="6" t="s">
        <v>10</v>
      </c>
      <c r="F21" s="5"/>
    </row>
    <row r="22" spans="1:6" ht="15" thickBot="1" x14ac:dyDescent="0.35">
      <c r="A22" s="3">
        <v>81</v>
      </c>
      <c r="B22" s="4">
        <v>90</v>
      </c>
      <c r="C22" s="3">
        <v>1.75</v>
      </c>
      <c r="D22" s="6" t="s">
        <v>10</v>
      </c>
      <c r="F22" s="5"/>
    </row>
    <row r="23" spans="1:6" ht="15" thickBot="1" x14ac:dyDescent="0.35">
      <c r="A23" s="3">
        <v>83</v>
      </c>
      <c r="B23" s="4">
        <v>91</v>
      </c>
      <c r="C23" s="3">
        <v>1.7</v>
      </c>
      <c r="D23" s="6" t="s">
        <v>10</v>
      </c>
      <c r="F23" s="5"/>
    </row>
    <row r="24" spans="1:6" ht="15" thickBot="1" x14ac:dyDescent="0.35">
      <c r="A24" s="3">
        <v>85</v>
      </c>
      <c r="B24" s="4">
        <v>92</v>
      </c>
      <c r="C24" s="3">
        <v>1.6</v>
      </c>
      <c r="D24" s="6" t="s">
        <v>10</v>
      </c>
      <c r="F24" s="5"/>
    </row>
    <row r="25" spans="1:6" ht="15" thickBot="1" x14ac:dyDescent="0.35">
      <c r="A25" s="3">
        <v>87</v>
      </c>
      <c r="B25" s="4">
        <v>93</v>
      </c>
      <c r="C25" s="3">
        <v>1.5</v>
      </c>
      <c r="D25" s="6" t="s">
        <v>10</v>
      </c>
      <c r="F25" s="5"/>
    </row>
    <row r="26" spans="1:6" ht="15" thickBot="1" x14ac:dyDescent="0.35">
      <c r="A26" s="3">
        <v>89</v>
      </c>
      <c r="B26" s="4">
        <v>94</v>
      </c>
      <c r="C26" s="3">
        <v>1.4</v>
      </c>
      <c r="D26" s="6" t="s">
        <v>11</v>
      </c>
      <c r="F26" s="5"/>
    </row>
    <row r="27" spans="1:6" ht="15" thickBot="1" x14ac:dyDescent="0.35">
      <c r="A27" s="3">
        <v>91</v>
      </c>
      <c r="B27" s="4">
        <v>95</v>
      </c>
      <c r="C27" s="3">
        <v>1.3</v>
      </c>
      <c r="D27" s="2" t="s">
        <v>11</v>
      </c>
      <c r="F27" s="5"/>
    </row>
    <row r="28" spans="1:6" ht="15" thickBot="1" x14ac:dyDescent="0.35">
      <c r="A28" s="3">
        <v>93</v>
      </c>
      <c r="B28" s="4">
        <v>96</v>
      </c>
      <c r="C28" s="3">
        <v>1.25</v>
      </c>
      <c r="D28" s="2" t="s">
        <v>11</v>
      </c>
      <c r="F28" s="5"/>
    </row>
    <row r="29" spans="1:6" ht="15" thickBot="1" x14ac:dyDescent="0.35">
      <c r="A29" s="3">
        <v>95</v>
      </c>
      <c r="B29" s="4">
        <v>97</v>
      </c>
      <c r="C29" s="3">
        <v>1.2</v>
      </c>
      <c r="D29" s="2" t="s">
        <v>11</v>
      </c>
      <c r="F29" s="5"/>
    </row>
    <row r="30" spans="1:6" ht="15" thickBot="1" x14ac:dyDescent="0.35">
      <c r="A30" s="3">
        <v>97</v>
      </c>
      <c r="B30" s="4">
        <v>98</v>
      </c>
      <c r="C30" s="3">
        <v>1.1000000000000001</v>
      </c>
      <c r="D30" s="2" t="s">
        <v>11</v>
      </c>
      <c r="F30" s="5"/>
    </row>
    <row r="31" spans="1:6" ht="15" thickBot="1" x14ac:dyDescent="0.35">
      <c r="A31" s="3">
        <v>99</v>
      </c>
      <c r="B31" s="4">
        <v>99</v>
      </c>
      <c r="C31" s="3">
        <v>1</v>
      </c>
      <c r="D31" s="2" t="s">
        <v>11</v>
      </c>
      <c r="F31" s="5"/>
    </row>
    <row r="32" spans="1:6" ht="15" thickBot="1" x14ac:dyDescent="0.35">
      <c r="A32" s="3">
        <v>100</v>
      </c>
      <c r="B32" s="4">
        <v>100</v>
      </c>
      <c r="C32" s="3">
        <v>1</v>
      </c>
      <c r="D32" s="2" t="s">
        <v>11</v>
      </c>
      <c r="F32" s="5"/>
    </row>
  </sheetData>
  <sheetProtection algorithmName="SHA-512" hashValue="Gx5HYSigQSXH1doeug7mRI53bofD4+4Cmojb93yeET12soY8eTQNMeTRqOTeRsKPxb+5E7IWroJUhhPwlYtYuw==" saltValue="ACUkZy4t8TdwGpERRtr9M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A878-5FD3-4846-86FB-40CB0CCBAED0}">
  <sheetPr>
    <pageSetUpPr fitToPage="1"/>
  </sheetPr>
  <dimension ref="A1:BY65"/>
  <sheetViews>
    <sheetView showGridLines="0" tabSelected="1" view="pageBreakPreview" zoomScale="110" zoomScaleNormal="130" zoomScaleSheetLayoutView="110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G8" sqref="G8"/>
    </sheetView>
  </sheetViews>
  <sheetFormatPr defaultRowHeight="13.8" x14ac:dyDescent="0.25"/>
  <cols>
    <col min="1" max="1" width="3.88671875" style="9" bestFit="1" customWidth="1"/>
    <col min="2" max="2" width="16.6640625" style="9" customWidth="1"/>
    <col min="3" max="3" width="13.88671875" style="9" customWidth="1"/>
    <col min="4" max="4" width="3.33203125" style="9" customWidth="1"/>
    <col min="5" max="5" width="3.21875" style="9" customWidth="1"/>
    <col min="6" max="6" width="7" style="9" customWidth="1"/>
    <col min="7" max="7" width="7.77734375" style="9" customWidth="1"/>
    <col min="8" max="14" width="3.33203125" style="9" customWidth="1"/>
    <col min="15" max="15" width="6.33203125" style="9" customWidth="1"/>
    <col min="16" max="16" width="7" style="9" customWidth="1"/>
    <col min="17" max="17" width="5.33203125" style="9" customWidth="1"/>
    <col min="18" max="18" width="6.88671875" style="9" customWidth="1"/>
    <col min="19" max="19" width="6.77734375" style="9" customWidth="1"/>
    <col min="20" max="20" width="7.33203125" style="9" customWidth="1"/>
    <col min="21" max="25" width="6.88671875" style="9" customWidth="1"/>
    <col min="26" max="26" width="7.5546875" style="9" customWidth="1"/>
    <col min="27" max="28" width="6.88671875" style="9" customWidth="1"/>
    <col min="29" max="29" width="7.21875" style="9" customWidth="1"/>
    <col min="30" max="32" width="6.88671875" style="9" customWidth="1"/>
    <col min="33" max="33" width="7.5546875" style="9" customWidth="1"/>
    <col min="34" max="36" width="6.88671875" style="9" customWidth="1"/>
    <col min="37" max="37" width="6" style="9" customWidth="1"/>
    <col min="38" max="41" width="6.88671875" style="9" customWidth="1"/>
    <col min="42" max="42" width="7.33203125" style="9" customWidth="1"/>
    <col min="43" max="45" width="6.88671875" style="9" customWidth="1"/>
    <col min="46" max="46" width="6.77734375" style="9" customWidth="1"/>
    <col min="47" max="47" width="6.109375" style="9" bestFit="1" customWidth="1"/>
    <col min="48" max="48" width="7" style="9" customWidth="1"/>
    <col min="49" max="49" width="7.77734375" style="9" customWidth="1"/>
    <col min="50" max="50" width="7" style="9" customWidth="1"/>
    <col min="51" max="52" width="6.44140625" style="9" customWidth="1"/>
    <col min="53" max="53" width="7" style="9" customWidth="1"/>
    <col min="54" max="54" width="7.33203125" style="9" customWidth="1"/>
    <col min="55" max="55" width="7.44140625" style="9" customWidth="1"/>
    <col min="56" max="66" width="6.88671875" style="9" customWidth="1"/>
    <col min="67" max="67" width="7.33203125" style="9" customWidth="1"/>
    <col min="68" max="68" width="8.44140625" style="9" customWidth="1"/>
    <col min="69" max="69" width="8.33203125" style="9" customWidth="1"/>
    <col min="70" max="70" width="7.109375" style="9" customWidth="1"/>
    <col min="71" max="71" width="8.109375" style="9" customWidth="1"/>
    <col min="72" max="16384" width="8.88671875" style="9"/>
  </cols>
  <sheetData>
    <row r="1" spans="1:77" x14ac:dyDescent="0.25">
      <c r="A1" s="93" t="s">
        <v>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</row>
    <row r="2" spans="1:77" x14ac:dyDescent="0.25">
      <c r="A2" s="93" t="s">
        <v>13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</row>
    <row r="3" spans="1:77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</row>
    <row r="4" spans="1:77" x14ac:dyDescent="0.25">
      <c r="A4" s="93" t="s">
        <v>65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</row>
    <row r="5" spans="1:77" x14ac:dyDescent="0.25">
      <c r="A5" s="94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</row>
    <row r="6" spans="1:77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</row>
    <row r="7" spans="1:77" x14ac:dyDescent="0.25">
      <c r="A7" s="95" t="s">
        <v>14</v>
      </c>
      <c r="B7" s="95"/>
      <c r="C7" s="24"/>
      <c r="D7" s="24"/>
      <c r="E7" s="24"/>
      <c r="F7" s="24"/>
      <c r="BQ7" s="95" t="s">
        <v>16</v>
      </c>
      <c r="BR7" s="95"/>
      <c r="BS7" s="76"/>
      <c r="BT7" s="76"/>
    </row>
    <row r="8" spans="1:77" ht="14.4" customHeight="1" x14ac:dyDescent="0.3">
      <c r="A8" s="95" t="s">
        <v>24</v>
      </c>
      <c r="B8" s="95"/>
      <c r="C8" s="24" t="s">
        <v>110</v>
      </c>
      <c r="D8" s="24"/>
      <c r="E8" s="24"/>
      <c r="G8" s="15"/>
      <c r="H8" s="15"/>
      <c r="I8" s="15"/>
      <c r="J8" s="15"/>
      <c r="K8" s="15"/>
      <c r="L8" s="15"/>
      <c r="M8" s="15"/>
      <c r="N8" s="15"/>
      <c r="O8" s="15"/>
      <c r="P8" s="15"/>
      <c r="Q8" s="95" t="s">
        <v>15</v>
      </c>
      <c r="R8" s="95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29"/>
      <c r="AV8" s="10" t="s">
        <v>17</v>
      </c>
      <c r="AW8" s="10"/>
      <c r="AX8" s="10"/>
      <c r="AY8" s="10"/>
      <c r="AZ8" s="10"/>
      <c r="BA8" s="1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96"/>
      <c r="BP8" s="96"/>
      <c r="BQ8" s="28"/>
      <c r="BR8" s="30" t="s">
        <v>18</v>
      </c>
      <c r="BS8" s="97"/>
      <c r="BT8" s="97"/>
    </row>
    <row r="9" spans="1:77" ht="13.2" customHeight="1" x14ac:dyDescent="0.25"/>
    <row r="10" spans="1:77" ht="14.4" customHeight="1" x14ac:dyDescent="0.25">
      <c r="A10" s="87" t="s">
        <v>0</v>
      </c>
      <c r="B10" s="99" t="s">
        <v>1</v>
      </c>
      <c r="C10" s="100"/>
      <c r="D10" s="105" t="str">
        <f>_xlfn.CONCAT("Per. Exam ","(",SUM(G12)*100,"%",")")</f>
        <v>Per. Exam (50%)</v>
      </c>
      <c r="E10" s="105"/>
      <c r="F10" s="105"/>
      <c r="G10" s="105"/>
      <c r="H10" s="106" t="str">
        <f>_xlfn.CONCAT("Class Standing ","(",SUM(S13,AF13,AS13)*100,"%",")")</f>
        <v>Class Standing (35%)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7" t="str">
        <f>_xlfn.CONCAT("Project ","(",SUM(BA13,BN13)*100,"%",")")</f>
        <v>Project (15%)</v>
      </c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8" t="s">
        <v>23</v>
      </c>
      <c r="BS10" s="91" t="s">
        <v>62</v>
      </c>
      <c r="BT10" s="92" t="s">
        <v>3</v>
      </c>
      <c r="BV10" s="67">
        <f>SUM(BQ11,AS13,AF13,S13,G12)</f>
        <v>1</v>
      </c>
      <c r="BW10" s="67"/>
      <c r="BX10" s="67"/>
    </row>
    <row r="11" spans="1:77" ht="14.4" customHeight="1" x14ac:dyDescent="0.25">
      <c r="A11" s="87"/>
      <c r="B11" s="101"/>
      <c r="C11" s="102"/>
      <c r="D11" s="105"/>
      <c r="E11" s="105"/>
      <c r="F11" s="105"/>
      <c r="G11" s="105"/>
      <c r="H11" s="88"/>
      <c r="I11" s="88"/>
      <c r="J11" s="81"/>
      <c r="K11" s="81"/>
      <c r="L11" s="81"/>
      <c r="M11" s="81"/>
      <c r="N11" s="81"/>
      <c r="O11" s="82" t="str">
        <f>_xlfn.CONCAT("Attendance ","(",SUM(S13)*100,"%",")")</f>
        <v>Attendance (5%)</v>
      </c>
      <c r="P11" s="82"/>
      <c r="Q11" s="82"/>
      <c r="R11" s="82"/>
      <c r="S11" s="82"/>
      <c r="T11" s="109" t="str">
        <f>_xlfn.CONCAT("Seatwork/Homework/Activity ","(",SUM(W13,AA13,AE13)*100,"%",")")</f>
        <v>Seatwork/Homework/Activity (10%)</v>
      </c>
      <c r="U11" s="109"/>
      <c r="V11" s="109"/>
      <c r="W11" s="109"/>
      <c r="X11" s="87"/>
      <c r="Y11" s="87"/>
      <c r="Z11" s="87"/>
      <c r="AA11" s="87"/>
      <c r="AB11" s="87"/>
      <c r="AC11" s="87"/>
      <c r="AD11" s="87"/>
      <c r="AE11" s="87"/>
      <c r="AF11" s="87"/>
      <c r="AG11" s="68" t="str">
        <f>_xlfn.CONCAT("Quizzes ","(",SUM(AJ13,AN13,AR13)*100,"%",")")</f>
        <v>Quizzes (20%)</v>
      </c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70"/>
      <c r="AT11" s="86" t="s">
        <v>21</v>
      </c>
      <c r="AU11" s="85" t="s">
        <v>2</v>
      </c>
      <c r="AV11" s="86" t="s">
        <v>34</v>
      </c>
      <c r="AW11" s="87" t="str">
        <f>_xlfn.CONCAT("Notebook ","(",SUM(BA13)*100,"%",")")</f>
        <v>Notebook (5%)</v>
      </c>
      <c r="AX11" s="87"/>
      <c r="AY11" s="87"/>
      <c r="AZ11" s="87"/>
      <c r="BA11" s="87"/>
      <c r="BB11" s="68" t="str">
        <f>_xlfn.CONCAT("Plates ","(",SUM(BE13,BI13,BM13)*100,"%",")")</f>
        <v>Plates (10%)</v>
      </c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70"/>
      <c r="BO11" s="90" t="s">
        <v>22</v>
      </c>
      <c r="BP11" s="90" t="s">
        <v>2</v>
      </c>
      <c r="BQ11" s="83">
        <f>SUM(BA13,BN13)</f>
        <v>0.15000000000000002</v>
      </c>
      <c r="BR11" s="108"/>
      <c r="BS11" s="91"/>
      <c r="BT11" s="92"/>
      <c r="BU11" s="49"/>
      <c r="BV11" s="61" t="s">
        <v>59</v>
      </c>
      <c r="BW11" s="62"/>
      <c r="BX11" s="63"/>
      <c r="BY11" s="48"/>
    </row>
    <row r="12" spans="1:77" ht="14.4" customHeight="1" x14ac:dyDescent="0.25">
      <c r="A12" s="87"/>
      <c r="B12" s="101"/>
      <c r="C12" s="102"/>
      <c r="D12" s="79" t="s">
        <v>32</v>
      </c>
      <c r="E12" s="80"/>
      <c r="F12" s="34">
        <v>10</v>
      </c>
      <c r="G12" s="35">
        <v>0.5</v>
      </c>
      <c r="H12" s="88"/>
      <c r="I12" s="88"/>
      <c r="J12" s="81"/>
      <c r="K12" s="81"/>
      <c r="L12" s="89"/>
      <c r="M12" s="89"/>
      <c r="N12" s="81"/>
      <c r="O12" s="85" t="s">
        <v>26</v>
      </c>
      <c r="P12" s="36" t="s">
        <v>27</v>
      </c>
      <c r="Q12" s="34">
        <v>1.5</v>
      </c>
      <c r="R12" s="85" t="s">
        <v>2</v>
      </c>
      <c r="S12" s="42" t="s">
        <v>29</v>
      </c>
      <c r="T12" s="87" t="s">
        <v>63</v>
      </c>
      <c r="U12" s="87"/>
      <c r="V12" s="87"/>
      <c r="W12" s="87"/>
      <c r="X12" s="87" t="s">
        <v>108</v>
      </c>
      <c r="Y12" s="69"/>
      <c r="Z12" s="69"/>
      <c r="AA12" s="70"/>
      <c r="AB12" s="68" t="s">
        <v>109</v>
      </c>
      <c r="AC12" s="69"/>
      <c r="AD12" s="69"/>
      <c r="AE12" s="70"/>
      <c r="AF12" s="37" t="s">
        <v>29</v>
      </c>
      <c r="AG12" s="68" t="s">
        <v>64</v>
      </c>
      <c r="AH12" s="69"/>
      <c r="AI12" s="69"/>
      <c r="AJ12" s="70"/>
      <c r="AK12" s="68" t="s">
        <v>107</v>
      </c>
      <c r="AL12" s="69"/>
      <c r="AM12" s="69"/>
      <c r="AN12" s="70"/>
      <c r="AO12" s="68" t="s">
        <v>106</v>
      </c>
      <c r="AP12" s="69"/>
      <c r="AQ12" s="69"/>
      <c r="AR12" s="70"/>
      <c r="AS12" s="20" t="s">
        <v>29</v>
      </c>
      <c r="AT12" s="86"/>
      <c r="AU12" s="85"/>
      <c r="AV12" s="86"/>
      <c r="AW12" s="38" t="s">
        <v>30</v>
      </c>
      <c r="AX12" s="38" t="s">
        <v>31</v>
      </c>
      <c r="AY12" s="38" t="s">
        <v>27</v>
      </c>
      <c r="AZ12" s="38"/>
      <c r="BA12" s="37" t="s">
        <v>29</v>
      </c>
      <c r="BB12" s="68" t="s">
        <v>41</v>
      </c>
      <c r="BC12" s="69"/>
      <c r="BD12" s="69"/>
      <c r="BE12" s="70"/>
      <c r="BF12" s="68" t="s">
        <v>42</v>
      </c>
      <c r="BG12" s="69"/>
      <c r="BH12" s="69"/>
      <c r="BI12" s="70"/>
      <c r="BJ12" s="68" t="s">
        <v>43</v>
      </c>
      <c r="BK12" s="69"/>
      <c r="BL12" s="69"/>
      <c r="BM12" s="70"/>
      <c r="BN12" s="37" t="s">
        <v>29</v>
      </c>
      <c r="BO12" s="90"/>
      <c r="BP12" s="90"/>
      <c r="BQ12" s="84"/>
      <c r="BR12" s="108"/>
      <c r="BS12" s="91"/>
      <c r="BT12" s="92"/>
      <c r="BV12" s="64"/>
      <c r="BW12" s="65"/>
      <c r="BX12" s="66"/>
      <c r="BY12" s="48"/>
    </row>
    <row r="13" spans="1:77" ht="36" customHeight="1" x14ac:dyDescent="0.25">
      <c r="A13" s="87"/>
      <c r="B13" s="103"/>
      <c r="C13" s="104"/>
      <c r="D13" s="110" t="s">
        <v>19</v>
      </c>
      <c r="E13" s="110"/>
      <c r="F13" s="11" t="s">
        <v>2</v>
      </c>
      <c r="G13" s="11" t="s">
        <v>33</v>
      </c>
      <c r="H13" s="88"/>
      <c r="I13" s="88"/>
      <c r="J13" s="81"/>
      <c r="K13" s="81"/>
      <c r="L13" s="89"/>
      <c r="M13" s="89"/>
      <c r="N13" s="81"/>
      <c r="O13" s="85"/>
      <c r="P13" s="26">
        <v>2.5</v>
      </c>
      <c r="Q13" s="32" t="s">
        <v>20</v>
      </c>
      <c r="R13" s="85"/>
      <c r="S13" s="43">
        <v>0.05</v>
      </c>
      <c r="T13" s="59">
        <v>10</v>
      </c>
      <c r="U13" s="33" t="s">
        <v>28</v>
      </c>
      <c r="V13" s="33" t="s">
        <v>25</v>
      </c>
      <c r="W13" s="39">
        <f>AF13/3</f>
        <v>3.3333333333333333E-2</v>
      </c>
      <c r="X13" s="60">
        <v>10</v>
      </c>
      <c r="Y13" s="33" t="s">
        <v>28</v>
      </c>
      <c r="Z13" s="33" t="s">
        <v>25</v>
      </c>
      <c r="AA13" s="40">
        <f>W13</f>
        <v>3.3333333333333333E-2</v>
      </c>
      <c r="AB13" s="59">
        <v>50</v>
      </c>
      <c r="AC13" s="33" t="s">
        <v>28</v>
      </c>
      <c r="AD13" s="33" t="s">
        <v>25</v>
      </c>
      <c r="AE13" s="40">
        <f>AA13</f>
        <v>3.3333333333333333E-2</v>
      </c>
      <c r="AF13" s="22">
        <v>0.1</v>
      </c>
      <c r="AG13" s="59">
        <v>15</v>
      </c>
      <c r="AH13" s="33" t="s">
        <v>28</v>
      </c>
      <c r="AI13" s="33" t="s">
        <v>25</v>
      </c>
      <c r="AJ13" s="39">
        <f>AS13/3</f>
        <v>6.6666666666666666E-2</v>
      </c>
      <c r="AK13" s="59">
        <v>15</v>
      </c>
      <c r="AL13" s="33" t="s">
        <v>28</v>
      </c>
      <c r="AM13" s="33" t="s">
        <v>25</v>
      </c>
      <c r="AN13" s="40">
        <f>AJ13</f>
        <v>6.6666666666666666E-2</v>
      </c>
      <c r="AO13" s="59">
        <v>50</v>
      </c>
      <c r="AP13" s="33" t="s">
        <v>28</v>
      </c>
      <c r="AQ13" s="33" t="s">
        <v>25</v>
      </c>
      <c r="AR13" s="40">
        <f>AN13</f>
        <v>6.6666666666666666E-2</v>
      </c>
      <c r="AS13" s="22">
        <v>0.2</v>
      </c>
      <c r="AT13" s="86"/>
      <c r="AU13" s="85"/>
      <c r="AV13" s="86"/>
      <c r="AW13" s="31">
        <v>100</v>
      </c>
      <c r="AX13" s="31"/>
      <c r="AY13" s="31">
        <f t="shared" ref="AY13:AY23" si="0">SUM(AW13:AX13)</f>
        <v>100</v>
      </c>
      <c r="AZ13" s="31" t="s">
        <v>25</v>
      </c>
      <c r="BA13" s="21">
        <v>0.05</v>
      </c>
      <c r="BB13" s="59">
        <v>50</v>
      </c>
      <c r="BC13" s="31" t="s">
        <v>28</v>
      </c>
      <c r="BD13" s="31" t="s">
        <v>25</v>
      </c>
      <c r="BE13" s="45">
        <f>BN13/3</f>
        <v>3.3333333333333333E-2</v>
      </c>
      <c r="BF13" s="59">
        <v>50</v>
      </c>
      <c r="BG13" s="31" t="s">
        <v>28</v>
      </c>
      <c r="BH13" s="31" t="s">
        <v>25</v>
      </c>
      <c r="BI13" s="46">
        <f>BE13</f>
        <v>3.3333333333333333E-2</v>
      </c>
      <c r="BJ13" s="59">
        <v>50</v>
      </c>
      <c r="BK13" s="31" t="s">
        <v>28</v>
      </c>
      <c r="BL13" s="31" t="s">
        <v>25</v>
      </c>
      <c r="BM13" s="46">
        <f>BI13</f>
        <v>3.3333333333333333E-2</v>
      </c>
      <c r="BN13" s="22">
        <v>0.1</v>
      </c>
      <c r="BO13" s="90"/>
      <c r="BP13" s="90"/>
      <c r="BQ13" s="31" t="s">
        <v>35</v>
      </c>
      <c r="BR13" s="108"/>
      <c r="BS13" s="91"/>
      <c r="BT13" s="92"/>
    </row>
    <row r="14" spans="1:77" ht="14.4" customHeight="1" x14ac:dyDescent="0.25">
      <c r="A14" s="8">
        <v>1</v>
      </c>
      <c r="B14" s="74" t="s">
        <v>66</v>
      </c>
      <c r="C14" s="75"/>
      <c r="D14" s="47"/>
      <c r="E14" s="14" t="str">
        <f>_xlfn.CONCAT("/","",$F$12,"","")</f>
        <v>/10</v>
      </c>
      <c r="F14" s="27">
        <f>IFERROR(VLOOKUP((D14/$F$12)*100,'Transmutation Table'!$A$2:$B$32,2),0)</f>
        <v>70</v>
      </c>
      <c r="G14" s="12">
        <f>$G$12*F14</f>
        <v>35</v>
      </c>
      <c r="H14" s="18"/>
      <c r="I14" s="18"/>
      <c r="J14" s="18"/>
      <c r="K14" s="18"/>
      <c r="L14" s="18"/>
      <c r="M14" s="18"/>
      <c r="N14" s="18"/>
      <c r="O14" s="17">
        <f>COUNTIF(H14:N14,"P")+COUNTIF(H14:N14,"E")+COUNTIF(H14:N14,"L")*(1/3)</f>
        <v>0</v>
      </c>
      <c r="P14" s="17">
        <f>COUNTA(H14:N14)</f>
        <v>0</v>
      </c>
      <c r="Q14" s="7">
        <f>(P14-O14)*$Q$12</f>
        <v>0</v>
      </c>
      <c r="R14" s="7">
        <f>100-(Q14*$P$13)</f>
        <v>100</v>
      </c>
      <c r="S14" s="44">
        <f>R14*$S$13</f>
        <v>5</v>
      </c>
      <c r="T14" s="41"/>
      <c r="U14" s="7">
        <f>IFERROR(T14/$T$13*100,0)</f>
        <v>0</v>
      </c>
      <c r="V14" s="23">
        <f>IF(T14="A",0,VLOOKUP(U14,'Transmutation Table'!$A$2:$B$32,2))</f>
        <v>70</v>
      </c>
      <c r="W14" s="7">
        <f>V14*$W$13</f>
        <v>2.3333333333333335</v>
      </c>
      <c r="X14" s="41"/>
      <c r="Y14" s="7">
        <f>IFERROR(X14/$X$13*100,0)</f>
        <v>0</v>
      </c>
      <c r="Z14" s="23">
        <f>IF(X14="A",0,VLOOKUP(Y14,'Transmutation Table'!$A$2:$B$32,2))</f>
        <v>70</v>
      </c>
      <c r="AA14" s="7">
        <f>Z14*$AA$13</f>
        <v>2.3333333333333335</v>
      </c>
      <c r="AB14" s="41"/>
      <c r="AC14" s="7">
        <f>IFERROR(AB14/$AB$13*100,0)</f>
        <v>0</v>
      </c>
      <c r="AD14" s="23">
        <f>IF(AB14="A",0,VLOOKUP(AC14,'Transmutation Table'!$A$2:$B$32,2))</f>
        <v>70</v>
      </c>
      <c r="AE14" s="7">
        <f>AD14*$AE$13</f>
        <v>2.3333333333333335</v>
      </c>
      <c r="AF14" s="17">
        <f>SUM(W14,AA14,AE14)</f>
        <v>7</v>
      </c>
      <c r="AG14" s="41"/>
      <c r="AH14" s="7">
        <f>IFERROR(AG14/$AG$13*100,0)</f>
        <v>0</v>
      </c>
      <c r="AI14" s="23">
        <f>IF(AG14="A",0,VLOOKUP(AH14,'Transmutation Table'!$A$2:$B$32,2))</f>
        <v>70</v>
      </c>
      <c r="AJ14" s="7">
        <f>AI14*$AJ$13</f>
        <v>4.666666666666667</v>
      </c>
      <c r="AK14" s="41"/>
      <c r="AL14" s="7">
        <f>IFERROR(AK14/$AK$13*100,0)</f>
        <v>0</v>
      </c>
      <c r="AM14" s="23">
        <f>IF(AK14="A",0,VLOOKUP(AL14,'Transmutation Table'!$A$2:$B$32,2))</f>
        <v>70</v>
      </c>
      <c r="AN14" s="7">
        <f>AM14*$AN$13</f>
        <v>4.666666666666667</v>
      </c>
      <c r="AO14" s="41"/>
      <c r="AP14" s="7">
        <f>IFERROR(AO14/$AO$13*100,0)</f>
        <v>0</v>
      </c>
      <c r="AQ14" s="23">
        <f>IF(AO14="A",0,VLOOKUP(AP14,'Transmutation Table'!$A$2:$B$32,2))</f>
        <v>70</v>
      </c>
      <c r="AR14" s="7">
        <f>AQ14*$AR$13</f>
        <v>4.666666666666667</v>
      </c>
      <c r="AS14" s="17">
        <f t="shared" ref="AS14:AS53" si="1">SUM(AJ14,AN14,AR14)</f>
        <v>14</v>
      </c>
      <c r="AT14" s="7">
        <f t="shared" ref="AT14:AT53" si="2">AVERAGE(AH14,AL14,AP14)</f>
        <v>0</v>
      </c>
      <c r="AU14" s="7">
        <f t="shared" ref="AU14:AU53" si="3">AVERAGE(AI14,AM14,AQ14)</f>
        <v>70</v>
      </c>
      <c r="AV14" s="25">
        <f t="shared" ref="AV14:AV53" si="4">SUM(S14,AF14,AS14)</f>
        <v>26</v>
      </c>
      <c r="AW14" s="41"/>
      <c r="AX14" s="41"/>
      <c r="AY14" s="16">
        <f t="shared" si="0"/>
        <v>0</v>
      </c>
      <c r="AZ14" s="16">
        <f>50+(AY14/$AY$13)*50</f>
        <v>50</v>
      </c>
      <c r="BA14" s="7">
        <f>AZ14*$BA$13</f>
        <v>2.5</v>
      </c>
      <c r="BB14" s="41"/>
      <c r="BC14" s="7">
        <f>IFERROR(BB14/$T$13*100,0)</f>
        <v>0</v>
      </c>
      <c r="BD14" s="23">
        <f>IF(BB14="A",0,VLOOKUP(BC14,'Transmutation Table'!$A$2:$B$32,2))</f>
        <v>70</v>
      </c>
      <c r="BE14" s="7">
        <f>BD14*$BE$13</f>
        <v>2.3333333333333335</v>
      </c>
      <c r="BF14" s="41"/>
      <c r="BG14" s="7">
        <f>IFERROR(BF14/$X$13*100,0)</f>
        <v>0</v>
      </c>
      <c r="BH14" s="23">
        <f>IF(BF14="A",0,VLOOKUP(BG14,'Transmutation Table'!$A$2:$B$32,2))</f>
        <v>70</v>
      </c>
      <c r="BI14" s="7">
        <f>BH14*$BI$13</f>
        <v>2.3333333333333335</v>
      </c>
      <c r="BJ14" s="41"/>
      <c r="BK14" s="7">
        <f>IFERROR(BJ14/#REF!*100,0)</f>
        <v>0</v>
      </c>
      <c r="BL14" s="23">
        <f>IF(BJ14="A",0,VLOOKUP(BK14,'Transmutation Table'!$A$2:$B$32,2))</f>
        <v>70</v>
      </c>
      <c r="BM14" s="7">
        <f>BL14*$BM$13</f>
        <v>2.3333333333333335</v>
      </c>
      <c r="BN14" s="7">
        <f>SUM(BE14,BI14,BM14)</f>
        <v>7</v>
      </c>
      <c r="BO14" s="7">
        <f>AVERAGE(AY14)</f>
        <v>0</v>
      </c>
      <c r="BP14" s="7">
        <f>AZ14</f>
        <v>50</v>
      </c>
      <c r="BQ14" s="13">
        <f>SUM(BA14,BN14)</f>
        <v>9.5</v>
      </c>
      <c r="BR14" s="7">
        <f t="shared" ref="BR14:BR53" si="5">SUM(G14,AV14,BQ14)</f>
        <v>70.5</v>
      </c>
      <c r="BS14" s="23">
        <f>IFERROR(VLOOKUP(BR14,'Transmutation Table'!$B$2:$V$32,2),5)</f>
        <v>5</v>
      </c>
      <c r="BT14" s="19" t="str">
        <f>IF(BR14&gt;=75,"PASSED","FAILED")</f>
        <v>FAILED</v>
      </c>
      <c r="BV14" s="9" t="s">
        <v>61</v>
      </c>
    </row>
    <row r="15" spans="1:77" ht="14.4" customHeight="1" x14ac:dyDescent="0.25">
      <c r="A15" s="8">
        <v>2</v>
      </c>
      <c r="B15" s="74" t="s">
        <v>67</v>
      </c>
      <c r="C15" s="75"/>
      <c r="D15" s="47"/>
      <c r="E15" s="14" t="str">
        <f t="shared" ref="E15:E53" si="6">_xlfn.CONCAT("/","",$F$12,"","")</f>
        <v>/10</v>
      </c>
      <c r="F15" s="27">
        <f>IFERROR(VLOOKUP((D15/$F$12)*100,'Transmutation Table'!$A$2:$B$32,2),0)</f>
        <v>70</v>
      </c>
      <c r="G15" s="12">
        <f t="shared" ref="G15:G53" si="7">$G$12*F15</f>
        <v>35</v>
      </c>
      <c r="H15" s="18"/>
      <c r="I15" s="18"/>
      <c r="J15" s="18"/>
      <c r="K15" s="18"/>
      <c r="L15" s="18"/>
      <c r="M15" s="18"/>
      <c r="N15" s="18"/>
      <c r="O15" s="17">
        <f t="shared" ref="O15:O53" si="8">COUNTIF(H15:N15,"P")+COUNTIF(H15:N15,"E")+COUNTIF(H15:N15,"L")*(1/3)</f>
        <v>0</v>
      </c>
      <c r="P15" s="17">
        <f t="shared" ref="P15:P23" si="9">COUNTA(H15:N15)</f>
        <v>0</v>
      </c>
      <c r="Q15" s="7">
        <f t="shared" ref="Q15:Q23" si="10">(P15-O15)*$Q$12</f>
        <v>0</v>
      </c>
      <c r="R15" s="7">
        <f t="shared" ref="R15:R23" si="11">100-(Q15*$P$13)</f>
        <v>100</v>
      </c>
      <c r="S15" s="44">
        <f t="shared" ref="S15:S23" si="12">R15*$S$13</f>
        <v>5</v>
      </c>
      <c r="T15" s="41"/>
      <c r="U15" s="7">
        <f t="shared" ref="U15:U53" si="13">IFERROR(T15/$T$13*100,0)</f>
        <v>0</v>
      </c>
      <c r="V15" s="23">
        <f>IF(T15="A",0,VLOOKUP(U15,'Transmutation Table'!$A$2:$B$32,2))</f>
        <v>70</v>
      </c>
      <c r="W15" s="7">
        <f t="shared" ref="W15:W23" si="14">V15*$W$13</f>
        <v>2.3333333333333335</v>
      </c>
      <c r="X15" s="41"/>
      <c r="Y15" s="7">
        <f t="shared" ref="Y15:Y23" si="15">IFERROR(X15/$X$13*100,0)</f>
        <v>0</v>
      </c>
      <c r="Z15" s="23">
        <f>IF(X15="A",0,VLOOKUP(Y15,'Transmutation Table'!$A$2:$B$32,2))</f>
        <v>70</v>
      </c>
      <c r="AA15" s="7">
        <f t="shared" ref="AA15:AA23" si="16">Z15*$AA$13</f>
        <v>2.3333333333333335</v>
      </c>
      <c r="AB15" s="41"/>
      <c r="AC15" s="7">
        <f t="shared" ref="AC15:AC53" si="17">IFERROR(AB15/$AB$13*100,0)</f>
        <v>0</v>
      </c>
      <c r="AD15" s="23">
        <f>IF(AB15="A",0,VLOOKUP(AC15,'Transmutation Table'!$A$2:$B$32,2))</f>
        <v>70</v>
      </c>
      <c r="AE15" s="7">
        <f t="shared" ref="AE15:AE53" si="18">AD15*$AE$13</f>
        <v>2.3333333333333335</v>
      </c>
      <c r="AF15" s="17">
        <f t="shared" ref="AF15:AF53" si="19">SUM(W15,AA15,AE15)</f>
        <v>7</v>
      </c>
      <c r="AG15" s="41"/>
      <c r="AH15" s="7">
        <f t="shared" ref="AH15:AH53" si="20">IFERROR(AG15/$AG$13*100,0)</f>
        <v>0</v>
      </c>
      <c r="AI15" s="23">
        <f>IF(AG15="A",0,VLOOKUP(AH15,'Transmutation Table'!$A$2:$B$32,2))</f>
        <v>70</v>
      </c>
      <c r="AJ15" s="7">
        <f t="shared" ref="AJ15:AJ23" si="21">AI15*$AJ$13</f>
        <v>4.666666666666667</v>
      </c>
      <c r="AK15" s="41"/>
      <c r="AL15" s="7">
        <f t="shared" ref="AL15:AL53" si="22">IFERROR(AK15/$AK$13*100,0)</f>
        <v>0</v>
      </c>
      <c r="AM15" s="23">
        <f>IF(AK15="A",0,VLOOKUP(AL15,'Transmutation Table'!$A$2:$B$32,2))</f>
        <v>70</v>
      </c>
      <c r="AN15" s="7">
        <f t="shared" ref="AN15:AN23" si="23">AM15*$AN$13</f>
        <v>4.666666666666667</v>
      </c>
      <c r="AO15" s="41"/>
      <c r="AP15" s="7">
        <f t="shared" ref="AP15:AP53" si="24">IFERROR(AO15/$AO$13*100,0)</f>
        <v>0</v>
      </c>
      <c r="AQ15" s="23">
        <f>IF(AO15="A",0,VLOOKUP(AP15,'Transmutation Table'!$A$2:$B$32,2))</f>
        <v>70</v>
      </c>
      <c r="AR15" s="7">
        <f t="shared" ref="AR15:AR23" si="25">AQ15*$AR$13</f>
        <v>4.666666666666667</v>
      </c>
      <c r="AS15" s="17">
        <f t="shared" si="1"/>
        <v>14</v>
      </c>
      <c r="AT15" s="7">
        <f t="shared" si="2"/>
        <v>0</v>
      </c>
      <c r="AU15" s="7">
        <f t="shared" si="3"/>
        <v>70</v>
      </c>
      <c r="AV15" s="25">
        <f t="shared" si="4"/>
        <v>26</v>
      </c>
      <c r="AW15" s="41"/>
      <c r="AX15" s="41"/>
      <c r="AY15" s="16">
        <f t="shared" si="0"/>
        <v>0</v>
      </c>
      <c r="AZ15" s="16">
        <f t="shared" ref="AZ15:AZ53" si="26">50+(AY15/$AY$13)*50</f>
        <v>50</v>
      </c>
      <c r="BA15" s="7">
        <f t="shared" ref="BA15:BA53" si="27">AZ15*$BA$13</f>
        <v>2.5</v>
      </c>
      <c r="BB15" s="41"/>
      <c r="BC15" s="7">
        <f t="shared" ref="BC15:BC53" si="28">IFERROR(BB15/$T$13*100,0)</f>
        <v>0</v>
      </c>
      <c r="BD15" s="23">
        <f>IF(BB15="A",0,VLOOKUP(BC15,'Transmutation Table'!$A$2:$B$32,2))</f>
        <v>70</v>
      </c>
      <c r="BE15" s="7">
        <f t="shared" ref="BE15:BE23" si="29">BD15*$BE$13</f>
        <v>2.3333333333333335</v>
      </c>
      <c r="BF15" s="41"/>
      <c r="BG15" s="7">
        <f t="shared" ref="BG15:BG23" si="30">IFERROR(BF15/$X$13*100,0)</f>
        <v>0</v>
      </c>
      <c r="BH15" s="23">
        <f>IF(BF15="A",0,VLOOKUP(BG15,'Transmutation Table'!$A$2:$B$32,2))</f>
        <v>70</v>
      </c>
      <c r="BI15" s="7">
        <f t="shared" ref="BI15:BI23" si="31">BH15*$BI$13</f>
        <v>2.3333333333333335</v>
      </c>
      <c r="BJ15" s="41"/>
      <c r="BK15" s="7">
        <f>IFERROR(BJ15/#REF!*100,0)</f>
        <v>0</v>
      </c>
      <c r="BL15" s="23">
        <f>IF(BJ15="A",0,VLOOKUP(BK15,'Transmutation Table'!$A$2:$B$32,2))</f>
        <v>70</v>
      </c>
      <c r="BM15" s="7">
        <f t="shared" ref="BM15:BM23" si="32">BL15*$BM$13</f>
        <v>2.3333333333333335</v>
      </c>
      <c r="BN15" s="7">
        <f t="shared" ref="BN15:BN23" si="33">SUM(BE15,BI15,BM15)</f>
        <v>7</v>
      </c>
      <c r="BO15" s="7">
        <f t="shared" ref="BO15:BO53" si="34">AVERAGE(AY15)</f>
        <v>0</v>
      </c>
      <c r="BP15" s="7">
        <f t="shared" ref="BP15:BP53" si="35">AZ15</f>
        <v>50</v>
      </c>
      <c r="BQ15" s="13">
        <f t="shared" ref="BQ15:BQ22" si="36">SUM(BA15,BN15)</f>
        <v>9.5</v>
      </c>
      <c r="BR15" s="7">
        <f t="shared" si="5"/>
        <v>70.5</v>
      </c>
      <c r="BS15" s="23">
        <f>IFERROR(VLOOKUP(BR15,'Transmutation Table'!$B$2:$V$32,2),5)</f>
        <v>5</v>
      </c>
      <c r="BT15" s="19" t="str">
        <f t="shared" ref="BT15:BT23" si="37">IF(BR15&gt;=75,"PASSED","FAILED")</f>
        <v>FAILED</v>
      </c>
      <c r="BV15" s="9" t="s">
        <v>61</v>
      </c>
    </row>
    <row r="16" spans="1:77" ht="14.4" customHeight="1" x14ac:dyDescent="0.25">
      <c r="A16" s="8">
        <v>3</v>
      </c>
      <c r="B16" s="74" t="s">
        <v>68</v>
      </c>
      <c r="C16" s="75"/>
      <c r="D16" s="47"/>
      <c r="E16" s="14" t="str">
        <f t="shared" si="6"/>
        <v>/10</v>
      </c>
      <c r="F16" s="27">
        <f>IFERROR(VLOOKUP((D16/$F$12)*100,'Transmutation Table'!$A$2:$B$32,2),0)</f>
        <v>70</v>
      </c>
      <c r="G16" s="12">
        <f t="shared" si="7"/>
        <v>35</v>
      </c>
      <c r="H16" s="18"/>
      <c r="I16" s="18"/>
      <c r="J16" s="18"/>
      <c r="K16" s="18"/>
      <c r="L16" s="18"/>
      <c r="M16" s="18"/>
      <c r="N16" s="18"/>
      <c r="O16" s="17">
        <f t="shared" si="8"/>
        <v>0</v>
      </c>
      <c r="P16" s="17">
        <f t="shared" si="9"/>
        <v>0</v>
      </c>
      <c r="Q16" s="7">
        <f t="shared" si="10"/>
        <v>0</v>
      </c>
      <c r="R16" s="7">
        <f t="shared" si="11"/>
        <v>100</v>
      </c>
      <c r="S16" s="44">
        <f t="shared" si="12"/>
        <v>5</v>
      </c>
      <c r="T16" s="41"/>
      <c r="U16" s="7">
        <f t="shared" si="13"/>
        <v>0</v>
      </c>
      <c r="V16" s="23">
        <f>IF(T16="A",0,VLOOKUP(U16,'Transmutation Table'!$A$2:$B$32,2))</f>
        <v>70</v>
      </c>
      <c r="W16" s="7">
        <f t="shared" si="14"/>
        <v>2.3333333333333335</v>
      </c>
      <c r="X16" s="41"/>
      <c r="Y16" s="7">
        <f t="shared" si="15"/>
        <v>0</v>
      </c>
      <c r="Z16" s="23">
        <f>IF(X16="A",0,VLOOKUP(Y16,'Transmutation Table'!$A$2:$B$32,2))</f>
        <v>70</v>
      </c>
      <c r="AA16" s="7">
        <f t="shared" si="16"/>
        <v>2.3333333333333335</v>
      </c>
      <c r="AB16" s="41"/>
      <c r="AC16" s="7">
        <f t="shared" si="17"/>
        <v>0</v>
      </c>
      <c r="AD16" s="23">
        <f>IF(AB16="A",0,VLOOKUP(AC16,'Transmutation Table'!$A$2:$B$32,2))</f>
        <v>70</v>
      </c>
      <c r="AE16" s="7">
        <f t="shared" si="18"/>
        <v>2.3333333333333335</v>
      </c>
      <c r="AF16" s="17">
        <f t="shared" si="19"/>
        <v>7</v>
      </c>
      <c r="AG16" s="41"/>
      <c r="AH16" s="7">
        <f t="shared" si="20"/>
        <v>0</v>
      </c>
      <c r="AI16" s="23">
        <f>IF(AG16="A",0,VLOOKUP(AH16,'Transmutation Table'!$A$2:$B$32,2))</f>
        <v>70</v>
      </c>
      <c r="AJ16" s="7">
        <f t="shared" si="21"/>
        <v>4.666666666666667</v>
      </c>
      <c r="AK16" s="41"/>
      <c r="AL16" s="7">
        <f t="shared" si="22"/>
        <v>0</v>
      </c>
      <c r="AM16" s="23">
        <f>IF(AK16="A",0,VLOOKUP(AL16,'Transmutation Table'!$A$2:$B$32,2))</f>
        <v>70</v>
      </c>
      <c r="AN16" s="7">
        <f t="shared" si="23"/>
        <v>4.666666666666667</v>
      </c>
      <c r="AO16" s="41"/>
      <c r="AP16" s="7">
        <f t="shared" si="24"/>
        <v>0</v>
      </c>
      <c r="AQ16" s="23">
        <f>IF(AO16="A",0,VLOOKUP(AP16,'Transmutation Table'!$A$2:$B$32,2))</f>
        <v>70</v>
      </c>
      <c r="AR16" s="7">
        <f t="shared" si="25"/>
        <v>4.666666666666667</v>
      </c>
      <c r="AS16" s="17">
        <f t="shared" si="1"/>
        <v>14</v>
      </c>
      <c r="AT16" s="7">
        <f t="shared" si="2"/>
        <v>0</v>
      </c>
      <c r="AU16" s="7">
        <f t="shared" si="3"/>
        <v>70</v>
      </c>
      <c r="AV16" s="25">
        <f t="shared" si="4"/>
        <v>26</v>
      </c>
      <c r="AW16" s="41"/>
      <c r="AX16" s="41"/>
      <c r="AY16" s="16">
        <f t="shared" si="0"/>
        <v>0</v>
      </c>
      <c r="AZ16" s="16">
        <f t="shared" si="26"/>
        <v>50</v>
      </c>
      <c r="BA16" s="7">
        <f t="shared" si="27"/>
        <v>2.5</v>
      </c>
      <c r="BB16" s="41"/>
      <c r="BC16" s="7">
        <f t="shared" si="28"/>
        <v>0</v>
      </c>
      <c r="BD16" s="23">
        <f>IF(BB16="A",0,VLOOKUP(BC16,'Transmutation Table'!$A$2:$B$32,2))</f>
        <v>70</v>
      </c>
      <c r="BE16" s="7">
        <f t="shared" si="29"/>
        <v>2.3333333333333335</v>
      </c>
      <c r="BF16" s="41"/>
      <c r="BG16" s="7">
        <f t="shared" si="30"/>
        <v>0</v>
      </c>
      <c r="BH16" s="23">
        <f>IF(BF16="A",0,VLOOKUP(BG16,'Transmutation Table'!$A$2:$B$32,2))</f>
        <v>70</v>
      </c>
      <c r="BI16" s="7">
        <f t="shared" si="31"/>
        <v>2.3333333333333335</v>
      </c>
      <c r="BJ16" s="41"/>
      <c r="BK16" s="7">
        <f>IFERROR(BJ16/#REF!*100,0)</f>
        <v>0</v>
      </c>
      <c r="BL16" s="23">
        <f>IF(BJ16="A",0,VLOOKUP(BK16,'Transmutation Table'!$A$2:$B$32,2))</f>
        <v>70</v>
      </c>
      <c r="BM16" s="7">
        <f t="shared" si="32"/>
        <v>2.3333333333333335</v>
      </c>
      <c r="BN16" s="7">
        <f t="shared" si="33"/>
        <v>7</v>
      </c>
      <c r="BO16" s="7">
        <f t="shared" si="34"/>
        <v>0</v>
      </c>
      <c r="BP16" s="7">
        <f t="shared" si="35"/>
        <v>50</v>
      </c>
      <c r="BQ16" s="13">
        <f t="shared" si="36"/>
        <v>9.5</v>
      </c>
      <c r="BR16" s="7">
        <f t="shared" si="5"/>
        <v>70.5</v>
      </c>
      <c r="BS16" s="23">
        <f>IFERROR(VLOOKUP(BR16,'Transmutation Table'!$B$2:$V$32,2),5)</f>
        <v>5</v>
      </c>
      <c r="BT16" s="19" t="str">
        <f t="shared" si="37"/>
        <v>FAILED</v>
      </c>
    </row>
    <row r="17" spans="1:74" ht="14.4" customHeight="1" x14ac:dyDescent="0.25">
      <c r="A17" s="8">
        <v>4</v>
      </c>
      <c r="B17" s="74" t="s">
        <v>69</v>
      </c>
      <c r="C17" s="75"/>
      <c r="D17" s="47"/>
      <c r="E17" s="14" t="str">
        <f t="shared" si="6"/>
        <v>/10</v>
      </c>
      <c r="F17" s="27">
        <f>IFERROR(VLOOKUP((D17/$F$12)*100,'Transmutation Table'!$A$2:$B$32,2),0)</f>
        <v>70</v>
      </c>
      <c r="G17" s="12">
        <f t="shared" si="7"/>
        <v>35</v>
      </c>
      <c r="H17" s="18"/>
      <c r="I17" s="18"/>
      <c r="J17" s="18"/>
      <c r="K17" s="18"/>
      <c r="L17" s="18"/>
      <c r="M17" s="18"/>
      <c r="N17" s="18"/>
      <c r="O17" s="17">
        <f t="shared" si="8"/>
        <v>0</v>
      </c>
      <c r="P17" s="17">
        <f t="shared" si="9"/>
        <v>0</v>
      </c>
      <c r="Q17" s="7">
        <f t="shared" si="10"/>
        <v>0</v>
      </c>
      <c r="R17" s="7">
        <f t="shared" si="11"/>
        <v>100</v>
      </c>
      <c r="S17" s="44">
        <f t="shared" si="12"/>
        <v>5</v>
      </c>
      <c r="T17" s="41"/>
      <c r="U17" s="7">
        <f t="shared" si="13"/>
        <v>0</v>
      </c>
      <c r="V17" s="23">
        <f>IF(T17="A",0,VLOOKUP(U17,'Transmutation Table'!$A$2:$B$32,2))</f>
        <v>70</v>
      </c>
      <c r="W17" s="7">
        <f t="shared" si="14"/>
        <v>2.3333333333333335</v>
      </c>
      <c r="X17" s="41"/>
      <c r="Y17" s="7">
        <f t="shared" si="15"/>
        <v>0</v>
      </c>
      <c r="Z17" s="23">
        <f>IF(X17="A",0,VLOOKUP(Y17,'Transmutation Table'!$A$2:$B$32,2))</f>
        <v>70</v>
      </c>
      <c r="AA17" s="7">
        <f t="shared" si="16"/>
        <v>2.3333333333333335</v>
      </c>
      <c r="AB17" s="41"/>
      <c r="AC17" s="7">
        <f t="shared" si="17"/>
        <v>0</v>
      </c>
      <c r="AD17" s="23">
        <f>IF(AB17="A",0,VLOOKUP(AC17,'Transmutation Table'!$A$2:$B$32,2))</f>
        <v>70</v>
      </c>
      <c r="AE17" s="7">
        <f t="shared" si="18"/>
        <v>2.3333333333333335</v>
      </c>
      <c r="AF17" s="17">
        <f t="shared" si="19"/>
        <v>7</v>
      </c>
      <c r="AG17" s="41"/>
      <c r="AH17" s="7">
        <f t="shared" si="20"/>
        <v>0</v>
      </c>
      <c r="AI17" s="23">
        <f>IF(AG17="A",0,VLOOKUP(AH17,'Transmutation Table'!$A$2:$B$32,2))</f>
        <v>70</v>
      </c>
      <c r="AJ17" s="7">
        <f t="shared" si="21"/>
        <v>4.666666666666667</v>
      </c>
      <c r="AK17" s="41"/>
      <c r="AL17" s="7">
        <f t="shared" si="22"/>
        <v>0</v>
      </c>
      <c r="AM17" s="23">
        <f>IF(AK17="A",0,VLOOKUP(AL17,'Transmutation Table'!$A$2:$B$32,2))</f>
        <v>70</v>
      </c>
      <c r="AN17" s="7">
        <f t="shared" si="23"/>
        <v>4.666666666666667</v>
      </c>
      <c r="AO17" s="41"/>
      <c r="AP17" s="7">
        <f t="shared" si="24"/>
        <v>0</v>
      </c>
      <c r="AQ17" s="23">
        <f>IF(AO17="A",0,VLOOKUP(AP17,'Transmutation Table'!$A$2:$B$32,2))</f>
        <v>70</v>
      </c>
      <c r="AR17" s="7">
        <f t="shared" si="25"/>
        <v>4.666666666666667</v>
      </c>
      <c r="AS17" s="17">
        <f t="shared" si="1"/>
        <v>14</v>
      </c>
      <c r="AT17" s="7">
        <f t="shared" si="2"/>
        <v>0</v>
      </c>
      <c r="AU17" s="7">
        <f t="shared" si="3"/>
        <v>70</v>
      </c>
      <c r="AV17" s="25">
        <f t="shared" si="4"/>
        <v>26</v>
      </c>
      <c r="AW17" s="41"/>
      <c r="AX17" s="41"/>
      <c r="AY17" s="16">
        <f t="shared" si="0"/>
        <v>0</v>
      </c>
      <c r="AZ17" s="16">
        <f t="shared" si="26"/>
        <v>50</v>
      </c>
      <c r="BA17" s="7">
        <f t="shared" si="27"/>
        <v>2.5</v>
      </c>
      <c r="BB17" s="41"/>
      <c r="BC17" s="7">
        <f t="shared" si="28"/>
        <v>0</v>
      </c>
      <c r="BD17" s="23">
        <f>IF(BB17="A",0,VLOOKUP(BC17,'Transmutation Table'!$A$2:$B$32,2))</f>
        <v>70</v>
      </c>
      <c r="BE17" s="7">
        <f t="shared" si="29"/>
        <v>2.3333333333333335</v>
      </c>
      <c r="BF17" s="41"/>
      <c r="BG17" s="7">
        <f t="shared" si="30"/>
        <v>0</v>
      </c>
      <c r="BH17" s="23">
        <f>IF(BF17="A",0,VLOOKUP(BG17,'Transmutation Table'!$A$2:$B$32,2))</f>
        <v>70</v>
      </c>
      <c r="BI17" s="7">
        <f t="shared" si="31"/>
        <v>2.3333333333333335</v>
      </c>
      <c r="BJ17" s="41"/>
      <c r="BK17" s="7">
        <f>IFERROR(BJ17/#REF!*100,0)</f>
        <v>0</v>
      </c>
      <c r="BL17" s="23">
        <f>IF(BJ17="A",0,VLOOKUP(BK17,'Transmutation Table'!$A$2:$B$32,2))</f>
        <v>70</v>
      </c>
      <c r="BM17" s="7">
        <f t="shared" si="32"/>
        <v>2.3333333333333335</v>
      </c>
      <c r="BN17" s="7">
        <f t="shared" si="33"/>
        <v>7</v>
      </c>
      <c r="BO17" s="7">
        <f t="shared" si="34"/>
        <v>0</v>
      </c>
      <c r="BP17" s="7">
        <f t="shared" si="35"/>
        <v>50</v>
      </c>
      <c r="BQ17" s="13">
        <f t="shared" si="36"/>
        <v>9.5</v>
      </c>
      <c r="BR17" s="7">
        <f t="shared" si="5"/>
        <v>70.5</v>
      </c>
      <c r="BS17" s="23">
        <f>IFERROR(VLOOKUP(BR17,'Transmutation Table'!$B$2:$V$32,2),5)</f>
        <v>5</v>
      </c>
      <c r="BT17" s="19" t="str">
        <f t="shared" si="37"/>
        <v>FAILED</v>
      </c>
      <c r="BV17" s="9" t="s">
        <v>61</v>
      </c>
    </row>
    <row r="18" spans="1:74" ht="14.4" customHeight="1" x14ac:dyDescent="0.25">
      <c r="A18" s="8">
        <v>5</v>
      </c>
      <c r="B18" s="74" t="s">
        <v>70</v>
      </c>
      <c r="C18" s="75"/>
      <c r="D18" s="47"/>
      <c r="E18" s="14" t="str">
        <f t="shared" si="6"/>
        <v>/10</v>
      </c>
      <c r="F18" s="27">
        <f>IFERROR(VLOOKUP((D18/$F$12)*100,'Transmutation Table'!$A$2:$B$32,2),0)</f>
        <v>70</v>
      </c>
      <c r="G18" s="12">
        <f t="shared" si="7"/>
        <v>35</v>
      </c>
      <c r="H18" s="18"/>
      <c r="I18" s="18"/>
      <c r="J18" s="18"/>
      <c r="K18" s="18"/>
      <c r="L18" s="18"/>
      <c r="M18" s="18"/>
      <c r="N18" s="18"/>
      <c r="O18" s="17">
        <f t="shared" si="8"/>
        <v>0</v>
      </c>
      <c r="P18" s="17">
        <f t="shared" si="9"/>
        <v>0</v>
      </c>
      <c r="Q18" s="7">
        <f t="shared" si="10"/>
        <v>0</v>
      </c>
      <c r="R18" s="7">
        <f t="shared" si="11"/>
        <v>100</v>
      </c>
      <c r="S18" s="44">
        <f t="shared" si="12"/>
        <v>5</v>
      </c>
      <c r="T18" s="41"/>
      <c r="U18" s="7">
        <f t="shared" si="13"/>
        <v>0</v>
      </c>
      <c r="V18" s="23">
        <f>IF(T18="A",0,VLOOKUP(U18,'Transmutation Table'!$A$2:$B$32,2))</f>
        <v>70</v>
      </c>
      <c r="W18" s="7">
        <f t="shared" si="14"/>
        <v>2.3333333333333335</v>
      </c>
      <c r="X18" s="41"/>
      <c r="Y18" s="7">
        <f t="shared" si="15"/>
        <v>0</v>
      </c>
      <c r="Z18" s="23">
        <f>IF(X18="A",0,VLOOKUP(Y18,'Transmutation Table'!$A$2:$B$32,2))</f>
        <v>70</v>
      </c>
      <c r="AA18" s="7">
        <f t="shared" si="16"/>
        <v>2.3333333333333335</v>
      </c>
      <c r="AB18" s="41"/>
      <c r="AC18" s="7">
        <f t="shared" si="17"/>
        <v>0</v>
      </c>
      <c r="AD18" s="23">
        <f>IF(AB18="A",0,VLOOKUP(AC18,'Transmutation Table'!$A$2:$B$32,2))</f>
        <v>70</v>
      </c>
      <c r="AE18" s="7">
        <f t="shared" si="18"/>
        <v>2.3333333333333335</v>
      </c>
      <c r="AF18" s="17">
        <f t="shared" si="19"/>
        <v>7</v>
      </c>
      <c r="AG18" s="41"/>
      <c r="AH18" s="7">
        <f t="shared" si="20"/>
        <v>0</v>
      </c>
      <c r="AI18" s="23">
        <f>IF(AG18="A",0,VLOOKUP(AH18,'Transmutation Table'!$A$2:$B$32,2))</f>
        <v>70</v>
      </c>
      <c r="AJ18" s="7">
        <f t="shared" si="21"/>
        <v>4.666666666666667</v>
      </c>
      <c r="AK18" s="41"/>
      <c r="AL18" s="7">
        <f t="shared" si="22"/>
        <v>0</v>
      </c>
      <c r="AM18" s="23">
        <f>IF(AK18="A",0,VLOOKUP(AL18,'Transmutation Table'!$A$2:$B$32,2))</f>
        <v>70</v>
      </c>
      <c r="AN18" s="7">
        <f t="shared" si="23"/>
        <v>4.666666666666667</v>
      </c>
      <c r="AO18" s="41"/>
      <c r="AP18" s="7">
        <f t="shared" si="24"/>
        <v>0</v>
      </c>
      <c r="AQ18" s="23">
        <f>IF(AO18="A",0,VLOOKUP(AP18,'Transmutation Table'!$A$2:$B$32,2))</f>
        <v>70</v>
      </c>
      <c r="AR18" s="7">
        <f t="shared" si="25"/>
        <v>4.666666666666667</v>
      </c>
      <c r="AS18" s="17">
        <f t="shared" si="1"/>
        <v>14</v>
      </c>
      <c r="AT18" s="7">
        <f t="shared" si="2"/>
        <v>0</v>
      </c>
      <c r="AU18" s="7">
        <f t="shared" si="3"/>
        <v>70</v>
      </c>
      <c r="AV18" s="25">
        <f t="shared" si="4"/>
        <v>26</v>
      </c>
      <c r="AW18" s="41"/>
      <c r="AX18" s="41"/>
      <c r="AY18" s="16">
        <f t="shared" si="0"/>
        <v>0</v>
      </c>
      <c r="AZ18" s="16">
        <f t="shared" si="26"/>
        <v>50</v>
      </c>
      <c r="BA18" s="7">
        <f t="shared" si="27"/>
        <v>2.5</v>
      </c>
      <c r="BB18" s="41"/>
      <c r="BC18" s="7">
        <f t="shared" si="28"/>
        <v>0</v>
      </c>
      <c r="BD18" s="23">
        <f>IF(BB18="A",0,VLOOKUP(BC18,'Transmutation Table'!$A$2:$B$32,2))</f>
        <v>70</v>
      </c>
      <c r="BE18" s="7">
        <f t="shared" si="29"/>
        <v>2.3333333333333335</v>
      </c>
      <c r="BF18" s="41"/>
      <c r="BG18" s="7">
        <f t="shared" si="30"/>
        <v>0</v>
      </c>
      <c r="BH18" s="23">
        <f>IF(BF18="A",0,VLOOKUP(BG18,'Transmutation Table'!$A$2:$B$32,2))</f>
        <v>70</v>
      </c>
      <c r="BI18" s="7">
        <f t="shared" si="31"/>
        <v>2.3333333333333335</v>
      </c>
      <c r="BJ18" s="41"/>
      <c r="BK18" s="7">
        <f>IFERROR(BJ18/#REF!*100,0)</f>
        <v>0</v>
      </c>
      <c r="BL18" s="23">
        <f>IF(BJ18="A",0,VLOOKUP(BK18,'Transmutation Table'!$A$2:$B$32,2))</f>
        <v>70</v>
      </c>
      <c r="BM18" s="7">
        <f t="shared" si="32"/>
        <v>2.3333333333333335</v>
      </c>
      <c r="BN18" s="7">
        <f t="shared" si="33"/>
        <v>7</v>
      </c>
      <c r="BO18" s="7">
        <f t="shared" si="34"/>
        <v>0</v>
      </c>
      <c r="BP18" s="7">
        <f t="shared" si="35"/>
        <v>50</v>
      </c>
      <c r="BQ18" s="13">
        <f t="shared" si="36"/>
        <v>9.5</v>
      </c>
      <c r="BR18" s="7">
        <f t="shared" si="5"/>
        <v>70.5</v>
      </c>
      <c r="BS18" s="23">
        <f>IFERROR(VLOOKUP(BR18,'Transmutation Table'!$B$2:$V$32,2),5)</f>
        <v>5</v>
      </c>
      <c r="BT18" s="19" t="str">
        <f t="shared" si="37"/>
        <v>FAILED</v>
      </c>
    </row>
    <row r="19" spans="1:74" ht="14.4" customHeight="1" x14ac:dyDescent="0.25">
      <c r="A19" s="8">
        <v>6</v>
      </c>
      <c r="B19" s="74" t="s">
        <v>71</v>
      </c>
      <c r="C19" s="75"/>
      <c r="D19" s="47"/>
      <c r="E19" s="14" t="str">
        <f t="shared" si="6"/>
        <v>/10</v>
      </c>
      <c r="F19" s="27">
        <f>IFERROR(VLOOKUP((D19/$F$12)*100,'Transmutation Table'!$A$2:$B$32,2),0)</f>
        <v>70</v>
      </c>
      <c r="G19" s="12">
        <f t="shared" si="7"/>
        <v>35</v>
      </c>
      <c r="H19" s="18"/>
      <c r="I19" s="18"/>
      <c r="J19" s="18"/>
      <c r="K19" s="18"/>
      <c r="L19" s="18"/>
      <c r="M19" s="18"/>
      <c r="N19" s="18"/>
      <c r="O19" s="17">
        <f t="shared" si="8"/>
        <v>0</v>
      </c>
      <c r="P19" s="17">
        <f t="shared" si="9"/>
        <v>0</v>
      </c>
      <c r="Q19" s="7">
        <f t="shared" si="10"/>
        <v>0</v>
      </c>
      <c r="R19" s="7">
        <f t="shared" si="11"/>
        <v>100</v>
      </c>
      <c r="S19" s="44">
        <f t="shared" si="12"/>
        <v>5</v>
      </c>
      <c r="T19" s="41"/>
      <c r="U19" s="7">
        <f t="shared" si="13"/>
        <v>0</v>
      </c>
      <c r="V19" s="23">
        <f>IF(T19="A",0,VLOOKUP(U19,'Transmutation Table'!$A$2:$B$32,2))</f>
        <v>70</v>
      </c>
      <c r="W19" s="7">
        <f t="shared" si="14"/>
        <v>2.3333333333333335</v>
      </c>
      <c r="X19" s="41"/>
      <c r="Y19" s="7">
        <f t="shared" si="15"/>
        <v>0</v>
      </c>
      <c r="Z19" s="23">
        <f>IF(X19="A",0,VLOOKUP(Y19,'Transmutation Table'!$A$2:$B$32,2))</f>
        <v>70</v>
      </c>
      <c r="AA19" s="7">
        <f t="shared" si="16"/>
        <v>2.3333333333333335</v>
      </c>
      <c r="AB19" s="41"/>
      <c r="AC19" s="7">
        <f t="shared" si="17"/>
        <v>0</v>
      </c>
      <c r="AD19" s="23">
        <f>IF(AB19="A",0,VLOOKUP(AC19,'Transmutation Table'!$A$2:$B$32,2))</f>
        <v>70</v>
      </c>
      <c r="AE19" s="7">
        <f t="shared" si="18"/>
        <v>2.3333333333333335</v>
      </c>
      <c r="AF19" s="17">
        <f t="shared" si="19"/>
        <v>7</v>
      </c>
      <c r="AG19" s="41"/>
      <c r="AH19" s="7">
        <f t="shared" si="20"/>
        <v>0</v>
      </c>
      <c r="AI19" s="23">
        <f>IF(AG19="A",0,VLOOKUP(AH19,'Transmutation Table'!$A$2:$B$32,2))</f>
        <v>70</v>
      </c>
      <c r="AJ19" s="7">
        <f t="shared" si="21"/>
        <v>4.666666666666667</v>
      </c>
      <c r="AK19" s="41"/>
      <c r="AL19" s="7">
        <f t="shared" si="22"/>
        <v>0</v>
      </c>
      <c r="AM19" s="23">
        <f>IF(AK19="A",0,VLOOKUP(AL19,'Transmutation Table'!$A$2:$B$32,2))</f>
        <v>70</v>
      </c>
      <c r="AN19" s="7">
        <f t="shared" si="23"/>
        <v>4.666666666666667</v>
      </c>
      <c r="AO19" s="41"/>
      <c r="AP19" s="7">
        <f t="shared" si="24"/>
        <v>0</v>
      </c>
      <c r="AQ19" s="23">
        <f>IF(AO19="A",0,VLOOKUP(AP19,'Transmutation Table'!$A$2:$B$32,2))</f>
        <v>70</v>
      </c>
      <c r="AR19" s="7">
        <f t="shared" si="25"/>
        <v>4.666666666666667</v>
      </c>
      <c r="AS19" s="17">
        <f t="shared" si="1"/>
        <v>14</v>
      </c>
      <c r="AT19" s="7">
        <f t="shared" si="2"/>
        <v>0</v>
      </c>
      <c r="AU19" s="7">
        <f t="shared" si="3"/>
        <v>70</v>
      </c>
      <c r="AV19" s="25">
        <f t="shared" si="4"/>
        <v>26</v>
      </c>
      <c r="AW19" s="41"/>
      <c r="AX19" s="41"/>
      <c r="AY19" s="16">
        <f t="shared" si="0"/>
        <v>0</v>
      </c>
      <c r="AZ19" s="16">
        <f t="shared" si="26"/>
        <v>50</v>
      </c>
      <c r="BA19" s="7">
        <f t="shared" si="27"/>
        <v>2.5</v>
      </c>
      <c r="BB19" s="41"/>
      <c r="BC19" s="7">
        <f t="shared" si="28"/>
        <v>0</v>
      </c>
      <c r="BD19" s="23">
        <f>IF(BB19="A",0,VLOOKUP(BC19,'Transmutation Table'!$A$2:$B$32,2))</f>
        <v>70</v>
      </c>
      <c r="BE19" s="7">
        <f t="shared" si="29"/>
        <v>2.3333333333333335</v>
      </c>
      <c r="BF19" s="41"/>
      <c r="BG19" s="7">
        <f t="shared" si="30"/>
        <v>0</v>
      </c>
      <c r="BH19" s="23">
        <f>IF(BF19="A",0,VLOOKUP(BG19,'Transmutation Table'!$A$2:$B$32,2))</f>
        <v>70</v>
      </c>
      <c r="BI19" s="7">
        <f t="shared" si="31"/>
        <v>2.3333333333333335</v>
      </c>
      <c r="BJ19" s="41"/>
      <c r="BK19" s="7">
        <f>IFERROR(BJ19/#REF!*100,0)</f>
        <v>0</v>
      </c>
      <c r="BL19" s="23">
        <f>IF(BJ19="A",0,VLOOKUP(BK19,'Transmutation Table'!$A$2:$B$32,2))</f>
        <v>70</v>
      </c>
      <c r="BM19" s="7">
        <f t="shared" si="32"/>
        <v>2.3333333333333335</v>
      </c>
      <c r="BN19" s="7">
        <f t="shared" si="33"/>
        <v>7</v>
      </c>
      <c r="BO19" s="7">
        <f t="shared" si="34"/>
        <v>0</v>
      </c>
      <c r="BP19" s="7">
        <f t="shared" si="35"/>
        <v>50</v>
      </c>
      <c r="BQ19" s="13">
        <f t="shared" si="36"/>
        <v>9.5</v>
      </c>
      <c r="BR19" s="7">
        <f t="shared" si="5"/>
        <v>70.5</v>
      </c>
      <c r="BS19" s="23">
        <f>IFERROR(VLOOKUP(BR19,'Transmutation Table'!$B$2:$V$32,2),5)</f>
        <v>5</v>
      </c>
      <c r="BT19" s="19" t="str">
        <f t="shared" si="37"/>
        <v>FAILED</v>
      </c>
    </row>
    <row r="20" spans="1:74" ht="14.4" customHeight="1" x14ac:dyDescent="0.25">
      <c r="A20" s="8">
        <v>7</v>
      </c>
      <c r="B20" s="74" t="s">
        <v>72</v>
      </c>
      <c r="C20" s="75"/>
      <c r="D20" s="47"/>
      <c r="E20" s="14" t="str">
        <f t="shared" si="6"/>
        <v>/10</v>
      </c>
      <c r="F20" s="27">
        <f>IFERROR(VLOOKUP((D20/$F$12)*100,'Transmutation Table'!$A$2:$B$32,2),0)</f>
        <v>70</v>
      </c>
      <c r="G20" s="12">
        <f t="shared" si="7"/>
        <v>35</v>
      </c>
      <c r="H20" s="18"/>
      <c r="I20" s="18"/>
      <c r="J20" s="18"/>
      <c r="K20" s="18"/>
      <c r="L20" s="18"/>
      <c r="M20" s="18"/>
      <c r="N20" s="18"/>
      <c r="O20" s="17">
        <f t="shared" si="8"/>
        <v>0</v>
      </c>
      <c r="P20" s="17">
        <f t="shared" si="9"/>
        <v>0</v>
      </c>
      <c r="Q20" s="7">
        <f t="shared" si="10"/>
        <v>0</v>
      </c>
      <c r="R20" s="7">
        <f t="shared" si="11"/>
        <v>100</v>
      </c>
      <c r="S20" s="44">
        <f t="shared" si="12"/>
        <v>5</v>
      </c>
      <c r="T20" s="41"/>
      <c r="U20" s="7">
        <f t="shared" si="13"/>
        <v>0</v>
      </c>
      <c r="V20" s="23">
        <f>IF(T20="A",0,VLOOKUP(U20,'Transmutation Table'!$A$2:$B$32,2))</f>
        <v>70</v>
      </c>
      <c r="W20" s="7">
        <f t="shared" si="14"/>
        <v>2.3333333333333335</v>
      </c>
      <c r="X20" s="41"/>
      <c r="Y20" s="7">
        <f t="shared" si="15"/>
        <v>0</v>
      </c>
      <c r="Z20" s="23">
        <f>IF(X20="A",0,VLOOKUP(Y20,'Transmutation Table'!$A$2:$B$32,2))</f>
        <v>70</v>
      </c>
      <c r="AA20" s="7">
        <f t="shared" si="16"/>
        <v>2.3333333333333335</v>
      </c>
      <c r="AB20" s="41"/>
      <c r="AC20" s="7">
        <f t="shared" si="17"/>
        <v>0</v>
      </c>
      <c r="AD20" s="23">
        <f>IF(AB20="A",0,VLOOKUP(AC20,'Transmutation Table'!$A$2:$B$32,2))</f>
        <v>70</v>
      </c>
      <c r="AE20" s="7">
        <f t="shared" si="18"/>
        <v>2.3333333333333335</v>
      </c>
      <c r="AF20" s="17">
        <f t="shared" si="19"/>
        <v>7</v>
      </c>
      <c r="AG20" s="41"/>
      <c r="AH20" s="7">
        <f t="shared" si="20"/>
        <v>0</v>
      </c>
      <c r="AI20" s="23">
        <f>IF(AG20="A",0,VLOOKUP(AH20,'Transmutation Table'!$A$2:$B$32,2))</f>
        <v>70</v>
      </c>
      <c r="AJ20" s="7">
        <f t="shared" si="21"/>
        <v>4.666666666666667</v>
      </c>
      <c r="AK20" s="41"/>
      <c r="AL20" s="7">
        <f t="shared" si="22"/>
        <v>0</v>
      </c>
      <c r="AM20" s="23">
        <f>IF(AK20="A",0,VLOOKUP(AL20,'Transmutation Table'!$A$2:$B$32,2))</f>
        <v>70</v>
      </c>
      <c r="AN20" s="7">
        <f t="shared" si="23"/>
        <v>4.666666666666667</v>
      </c>
      <c r="AO20" s="41"/>
      <c r="AP20" s="7">
        <f t="shared" si="24"/>
        <v>0</v>
      </c>
      <c r="AQ20" s="23">
        <f>IF(AO20="A",0,VLOOKUP(AP20,'Transmutation Table'!$A$2:$B$32,2))</f>
        <v>70</v>
      </c>
      <c r="AR20" s="7">
        <f t="shared" si="25"/>
        <v>4.666666666666667</v>
      </c>
      <c r="AS20" s="17">
        <f t="shared" si="1"/>
        <v>14</v>
      </c>
      <c r="AT20" s="7">
        <f t="shared" si="2"/>
        <v>0</v>
      </c>
      <c r="AU20" s="7">
        <f t="shared" si="3"/>
        <v>70</v>
      </c>
      <c r="AV20" s="25">
        <f t="shared" si="4"/>
        <v>26</v>
      </c>
      <c r="AW20" s="41"/>
      <c r="AX20" s="41"/>
      <c r="AY20" s="16">
        <f t="shared" si="0"/>
        <v>0</v>
      </c>
      <c r="AZ20" s="16">
        <f t="shared" si="26"/>
        <v>50</v>
      </c>
      <c r="BA20" s="7">
        <f t="shared" si="27"/>
        <v>2.5</v>
      </c>
      <c r="BB20" s="41"/>
      <c r="BC20" s="7">
        <f t="shared" si="28"/>
        <v>0</v>
      </c>
      <c r="BD20" s="23">
        <f>IF(BB20="A",0,VLOOKUP(BC20,'Transmutation Table'!$A$2:$B$32,2))</f>
        <v>70</v>
      </c>
      <c r="BE20" s="7">
        <f t="shared" si="29"/>
        <v>2.3333333333333335</v>
      </c>
      <c r="BF20" s="41"/>
      <c r="BG20" s="7">
        <f t="shared" si="30"/>
        <v>0</v>
      </c>
      <c r="BH20" s="23">
        <f>IF(BF20="A",0,VLOOKUP(BG20,'Transmutation Table'!$A$2:$B$32,2))</f>
        <v>70</v>
      </c>
      <c r="BI20" s="7">
        <f t="shared" si="31"/>
        <v>2.3333333333333335</v>
      </c>
      <c r="BJ20" s="41"/>
      <c r="BK20" s="7">
        <f>IFERROR(BJ20/#REF!*100,0)</f>
        <v>0</v>
      </c>
      <c r="BL20" s="23">
        <f>IF(BJ20="A",0,VLOOKUP(BK20,'Transmutation Table'!$A$2:$B$32,2))</f>
        <v>70</v>
      </c>
      <c r="BM20" s="7">
        <f t="shared" si="32"/>
        <v>2.3333333333333335</v>
      </c>
      <c r="BN20" s="7">
        <f t="shared" si="33"/>
        <v>7</v>
      </c>
      <c r="BO20" s="7">
        <f t="shared" si="34"/>
        <v>0</v>
      </c>
      <c r="BP20" s="7">
        <f t="shared" si="35"/>
        <v>50</v>
      </c>
      <c r="BQ20" s="13">
        <f t="shared" si="36"/>
        <v>9.5</v>
      </c>
      <c r="BR20" s="7">
        <f t="shared" si="5"/>
        <v>70.5</v>
      </c>
      <c r="BS20" s="23">
        <f>IFERROR(VLOOKUP(BR20,'Transmutation Table'!$B$2:$V$32,2),5)</f>
        <v>5</v>
      </c>
      <c r="BT20" s="19" t="str">
        <f t="shared" si="37"/>
        <v>FAILED</v>
      </c>
    </row>
    <row r="21" spans="1:74" ht="14.4" customHeight="1" x14ac:dyDescent="0.25">
      <c r="A21" s="8">
        <v>8</v>
      </c>
      <c r="B21" s="74" t="s">
        <v>73</v>
      </c>
      <c r="C21" s="75"/>
      <c r="D21" s="47"/>
      <c r="E21" s="14" t="str">
        <f t="shared" si="6"/>
        <v>/10</v>
      </c>
      <c r="F21" s="27">
        <f>IFERROR(VLOOKUP((D21/$F$12)*100,'Transmutation Table'!$A$2:$B$32,2),0)</f>
        <v>70</v>
      </c>
      <c r="G21" s="12">
        <f t="shared" si="7"/>
        <v>35</v>
      </c>
      <c r="H21" s="18"/>
      <c r="I21" s="18"/>
      <c r="J21" s="18"/>
      <c r="K21" s="18"/>
      <c r="L21" s="18"/>
      <c r="M21" s="18"/>
      <c r="N21" s="18"/>
      <c r="O21" s="17">
        <f t="shared" si="8"/>
        <v>0</v>
      </c>
      <c r="P21" s="17">
        <f t="shared" si="9"/>
        <v>0</v>
      </c>
      <c r="Q21" s="7">
        <f t="shared" si="10"/>
        <v>0</v>
      </c>
      <c r="R21" s="7">
        <f t="shared" si="11"/>
        <v>100</v>
      </c>
      <c r="S21" s="44">
        <f t="shared" si="12"/>
        <v>5</v>
      </c>
      <c r="T21" s="41"/>
      <c r="U21" s="7">
        <f t="shared" si="13"/>
        <v>0</v>
      </c>
      <c r="V21" s="23">
        <f>IF(T21="A",0,VLOOKUP(U21,'Transmutation Table'!$A$2:$B$32,2))</f>
        <v>70</v>
      </c>
      <c r="W21" s="7">
        <f t="shared" si="14"/>
        <v>2.3333333333333335</v>
      </c>
      <c r="X21" s="41"/>
      <c r="Y21" s="7">
        <f t="shared" si="15"/>
        <v>0</v>
      </c>
      <c r="Z21" s="23">
        <f>IF(X21="A",0,VLOOKUP(Y21,'Transmutation Table'!$A$2:$B$32,2))</f>
        <v>70</v>
      </c>
      <c r="AA21" s="7">
        <f t="shared" si="16"/>
        <v>2.3333333333333335</v>
      </c>
      <c r="AB21" s="41"/>
      <c r="AC21" s="7">
        <f t="shared" si="17"/>
        <v>0</v>
      </c>
      <c r="AD21" s="23">
        <f>IF(AB21="A",0,VLOOKUP(AC21,'Transmutation Table'!$A$2:$B$32,2))</f>
        <v>70</v>
      </c>
      <c r="AE21" s="7">
        <f t="shared" si="18"/>
        <v>2.3333333333333335</v>
      </c>
      <c r="AF21" s="17">
        <f t="shared" si="19"/>
        <v>7</v>
      </c>
      <c r="AG21" s="41"/>
      <c r="AH21" s="7">
        <f t="shared" si="20"/>
        <v>0</v>
      </c>
      <c r="AI21" s="23">
        <f>IF(AG21="A",0,VLOOKUP(AH21,'Transmutation Table'!$A$2:$B$32,2))</f>
        <v>70</v>
      </c>
      <c r="AJ21" s="7">
        <f t="shared" si="21"/>
        <v>4.666666666666667</v>
      </c>
      <c r="AK21" s="41"/>
      <c r="AL21" s="7">
        <f t="shared" si="22"/>
        <v>0</v>
      </c>
      <c r="AM21" s="23">
        <f>IF(AK21="A",0,VLOOKUP(AL21,'Transmutation Table'!$A$2:$B$32,2))</f>
        <v>70</v>
      </c>
      <c r="AN21" s="7">
        <f t="shared" si="23"/>
        <v>4.666666666666667</v>
      </c>
      <c r="AO21" s="41"/>
      <c r="AP21" s="7">
        <f t="shared" si="24"/>
        <v>0</v>
      </c>
      <c r="AQ21" s="23">
        <f>IF(AO21="A",0,VLOOKUP(AP21,'Transmutation Table'!$A$2:$B$32,2))</f>
        <v>70</v>
      </c>
      <c r="AR21" s="7">
        <f t="shared" si="25"/>
        <v>4.666666666666667</v>
      </c>
      <c r="AS21" s="17">
        <f t="shared" si="1"/>
        <v>14</v>
      </c>
      <c r="AT21" s="7">
        <f t="shared" si="2"/>
        <v>0</v>
      </c>
      <c r="AU21" s="7">
        <f t="shared" si="3"/>
        <v>70</v>
      </c>
      <c r="AV21" s="25">
        <f t="shared" si="4"/>
        <v>26</v>
      </c>
      <c r="AW21" s="41"/>
      <c r="AX21" s="41"/>
      <c r="AY21" s="16">
        <f t="shared" si="0"/>
        <v>0</v>
      </c>
      <c r="AZ21" s="16">
        <f t="shared" si="26"/>
        <v>50</v>
      </c>
      <c r="BA21" s="7">
        <f t="shared" si="27"/>
        <v>2.5</v>
      </c>
      <c r="BB21" s="41"/>
      <c r="BC21" s="7">
        <f t="shared" si="28"/>
        <v>0</v>
      </c>
      <c r="BD21" s="23">
        <f>IF(BB21="A",0,VLOOKUP(BC21,'Transmutation Table'!$A$2:$B$32,2))</f>
        <v>70</v>
      </c>
      <c r="BE21" s="7">
        <f t="shared" si="29"/>
        <v>2.3333333333333335</v>
      </c>
      <c r="BF21" s="41"/>
      <c r="BG21" s="7">
        <f t="shared" si="30"/>
        <v>0</v>
      </c>
      <c r="BH21" s="23">
        <f>IF(BF21="A",0,VLOOKUP(BG21,'Transmutation Table'!$A$2:$B$32,2))</f>
        <v>70</v>
      </c>
      <c r="BI21" s="7">
        <f t="shared" si="31"/>
        <v>2.3333333333333335</v>
      </c>
      <c r="BJ21" s="41"/>
      <c r="BK21" s="7">
        <f>IFERROR(BJ21/#REF!*100,0)</f>
        <v>0</v>
      </c>
      <c r="BL21" s="23">
        <f>IF(BJ21="A",0,VLOOKUP(BK21,'Transmutation Table'!$A$2:$B$32,2))</f>
        <v>70</v>
      </c>
      <c r="BM21" s="7">
        <f t="shared" si="32"/>
        <v>2.3333333333333335</v>
      </c>
      <c r="BN21" s="7">
        <f t="shared" si="33"/>
        <v>7</v>
      </c>
      <c r="BO21" s="7">
        <f t="shared" si="34"/>
        <v>0</v>
      </c>
      <c r="BP21" s="7">
        <f t="shared" si="35"/>
        <v>50</v>
      </c>
      <c r="BQ21" s="13">
        <f t="shared" si="36"/>
        <v>9.5</v>
      </c>
      <c r="BR21" s="7">
        <f t="shared" si="5"/>
        <v>70.5</v>
      </c>
      <c r="BS21" s="23">
        <f>IFERROR(VLOOKUP(BR21,'Transmutation Table'!$B$2:$V$32,2),5)</f>
        <v>5</v>
      </c>
      <c r="BT21" s="19" t="str">
        <f t="shared" si="37"/>
        <v>FAILED</v>
      </c>
      <c r="BV21" s="9" t="s">
        <v>61</v>
      </c>
    </row>
    <row r="22" spans="1:74" ht="14.4" customHeight="1" x14ac:dyDescent="0.25">
      <c r="A22" s="8">
        <v>9</v>
      </c>
      <c r="B22" s="74" t="s">
        <v>74</v>
      </c>
      <c r="C22" s="75"/>
      <c r="D22" s="47"/>
      <c r="E22" s="14" t="str">
        <f t="shared" si="6"/>
        <v>/10</v>
      </c>
      <c r="F22" s="27">
        <f>IFERROR(VLOOKUP((D22/$F$12)*100,'Transmutation Table'!$A$2:$B$32,2),0)</f>
        <v>70</v>
      </c>
      <c r="G22" s="12">
        <f t="shared" si="7"/>
        <v>35</v>
      </c>
      <c r="H22" s="18"/>
      <c r="I22" s="18"/>
      <c r="J22" s="18"/>
      <c r="K22" s="18"/>
      <c r="L22" s="18"/>
      <c r="M22" s="18"/>
      <c r="N22" s="18"/>
      <c r="O22" s="17">
        <f t="shared" si="8"/>
        <v>0</v>
      </c>
      <c r="P22" s="17">
        <f t="shared" si="9"/>
        <v>0</v>
      </c>
      <c r="Q22" s="7">
        <f t="shared" si="10"/>
        <v>0</v>
      </c>
      <c r="R22" s="7">
        <f t="shared" si="11"/>
        <v>100</v>
      </c>
      <c r="S22" s="44">
        <f t="shared" si="12"/>
        <v>5</v>
      </c>
      <c r="T22" s="41"/>
      <c r="U22" s="7">
        <f t="shared" si="13"/>
        <v>0</v>
      </c>
      <c r="V22" s="23">
        <f>IF(T22="A",0,VLOOKUP(U22,'Transmutation Table'!$A$2:$B$32,2))</f>
        <v>70</v>
      </c>
      <c r="W22" s="7">
        <f t="shared" si="14"/>
        <v>2.3333333333333335</v>
      </c>
      <c r="X22" s="41"/>
      <c r="Y22" s="7">
        <f t="shared" si="15"/>
        <v>0</v>
      </c>
      <c r="Z22" s="23">
        <f>IF(X22="A",0,VLOOKUP(Y22,'Transmutation Table'!$A$2:$B$32,2))</f>
        <v>70</v>
      </c>
      <c r="AA22" s="7">
        <f t="shared" si="16"/>
        <v>2.3333333333333335</v>
      </c>
      <c r="AB22" s="41"/>
      <c r="AC22" s="7">
        <f t="shared" si="17"/>
        <v>0</v>
      </c>
      <c r="AD22" s="23">
        <f>IF(AB22="A",0,VLOOKUP(AC22,'Transmutation Table'!$A$2:$B$32,2))</f>
        <v>70</v>
      </c>
      <c r="AE22" s="7">
        <f t="shared" si="18"/>
        <v>2.3333333333333335</v>
      </c>
      <c r="AF22" s="17">
        <f t="shared" si="19"/>
        <v>7</v>
      </c>
      <c r="AG22" s="41"/>
      <c r="AH22" s="7">
        <f t="shared" si="20"/>
        <v>0</v>
      </c>
      <c r="AI22" s="23">
        <f>IF(AG22="A",0,VLOOKUP(AH22,'Transmutation Table'!$A$2:$B$32,2))</f>
        <v>70</v>
      </c>
      <c r="AJ22" s="7">
        <f t="shared" si="21"/>
        <v>4.666666666666667</v>
      </c>
      <c r="AK22" s="41"/>
      <c r="AL22" s="7">
        <f t="shared" si="22"/>
        <v>0</v>
      </c>
      <c r="AM22" s="23">
        <f>IF(AK22="A",0,VLOOKUP(AL22,'Transmutation Table'!$A$2:$B$32,2))</f>
        <v>70</v>
      </c>
      <c r="AN22" s="7">
        <f t="shared" si="23"/>
        <v>4.666666666666667</v>
      </c>
      <c r="AO22" s="41"/>
      <c r="AP22" s="7">
        <f t="shared" si="24"/>
        <v>0</v>
      </c>
      <c r="AQ22" s="23">
        <f>IF(AO22="A",0,VLOOKUP(AP22,'Transmutation Table'!$A$2:$B$32,2))</f>
        <v>70</v>
      </c>
      <c r="AR22" s="7">
        <f t="shared" si="25"/>
        <v>4.666666666666667</v>
      </c>
      <c r="AS22" s="17">
        <f t="shared" si="1"/>
        <v>14</v>
      </c>
      <c r="AT22" s="7">
        <f t="shared" si="2"/>
        <v>0</v>
      </c>
      <c r="AU22" s="7">
        <f t="shared" si="3"/>
        <v>70</v>
      </c>
      <c r="AV22" s="25">
        <f t="shared" si="4"/>
        <v>26</v>
      </c>
      <c r="AW22" s="41"/>
      <c r="AX22" s="41"/>
      <c r="AY22" s="16">
        <f t="shared" si="0"/>
        <v>0</v>
      </c>
      <c r="AZ22" s="16">
        <f t="shared" si="26"/>
        <v>50</v>
      </c>
      <c r="BA22" s="7">
        <f t="shared" si="27"/>
        <v>2.5</v>
      </c>
      <c r="BB22" s="41"/>
      <c r="BC22" s="7">
        <f t="shared" si="28"/>
        <v>0</v>
      </c>
      <c r="BD22" s="23">
        <f>IF(BB22="A",0,VLOOKUP(BC22,'Transmutation Table'!$A$2:$B$32,2))</f>
        <v>70</v>
      </c>
      <c r="BE22" s="7">
        <f t="shared" si="29"/>
        <v>2.3333333333333335</v>
      </c>
      <c r="BF22" s="41"/>
      <c r="BG22" s="7">
        <f t="shared" si="30"/>
        <v>0</v>
      </c>
      <c r="BH22" s="23">
        <f>IF(BF22="A",0,VLOOKUP(BG22,'Transmutation Table'!$A$2:$B$32,2))</f>
        <v>70</v>
      </c>
      <c r="BI22" s="7">
        <f t="shared" si="31"/>
        <v>2.3333333333333335</v>
      </c>
      <c r="BJ22" s="41"/>
      <c r="BK22" s="7">
        <f>IFERROR(BJ22/#REF!*100,0)</f>
        <v>0</v>
      </c>
      <c r="BL22" s="23">
        <f>IF(BJ22="A",0,VLOOKUP(BK22,'Transmutation Table'!$A$2:$B$32,2))</f>
        <v>70</v>
      </c>
      <c r="BM22" s="7">
        <f t="shared" si="32"/>
        <v>2.3333333333333335</v>
      </c>
      <c r="BN22" s="7">
        <f t="shared" si="33"/>
        <v>7</v>
      </c>
      <c r="BO22" s="7">
        <f t="shared" si="34"/>
        <v>0</v>
      </c>
      <c r="BP22" s="7">
        <f t="shared" si="35"/>
        <v>50</v>
      </c>
      <c r="BQ22" s="13">
        <f t="shared" si="36"/>
        <v>9.5</v>
      </c>
      <c r="BR22" s="7">
        <f t="shared" si="5"/>
        <v>70.5</v>
      </c>
      <c r="BS22" s="23">
        <f>IFERROR(VLOOKUP(BR22,'Transmutation Table'!$B$2:$V$32,2),5)</f>
        <v>5</v>
      </c>
      <c r="BT22" s="19" t="str">
        <f t="shared" si="37"/>
        <v>FAILED</v>
      </c>
    </row>
    <row r="23" spans="1:74" ht="14.4" customHeight="1" x14ac:dyDescent="0.25">
      <c r="A23" s="8">
        <v>10</v>
      </c>
      <c r="B23" s="74" t="s">
        <v>75</v>
      </c>
      <c r="C23" s="75"/>
      <c r="D23" s="47"/>
      <c r="E23" s="14" t="str">
        <f t="shared" si="6"/>
        <v>/10</v>
      </c>
      <c r="F23" s="27">
        <f>IFERROR(VLOOKUP((D23/$F$12)*100,'Transmutation Table'!$A$2:$B$32,2),0)</f>
        <v>70</v>
      </c>
      <c r="G23" s="12">
        <f t="shared" si="7"/>
        <v>35</v>
      </c>
      <c r="H23" s="18"/>
      <c r="I23" s="18"/>
      <c r="J23" s="18"/>
      <c r="K23" s="18"/>
      <c r="L23" s="18"/>
      <c r="M23" s="18"/>
      <c r="N23" s="18"/>
      <c r="O23" s="17">
        <f t="shared" si="8"/>
        <v>0</v>
      </c>
      <c r="P23" s="17">
        <f t="shared" si="9"/>
        <v>0</v>
      </c>
      <c r="Q23" s="7">
        <f t="shared" si="10"/>
        <v>0</v>
      </c>
      <c r="R23" s="7">
        <f t="shared" si="11"/>
        <v>100</v>
      </c>
      <c r="S23" s="44">
        <f t="shared" si="12"/>
        <v>5</v>
      </c>
      <c r="T23" s="41"/>
      <c r="U23" s="7">
        <f t="shared" si="13"/>
        <v>0</v>
      </c>
      <c r="V23" s="23">
        <f>IF(T23="A",0,VLOOKUP(U23,'Transmutation Table'!$A$2:$B$32,2))</f>
        <v>70</v>
      </c>
      <c r="W23" s="7">
        <f t="shared" si="14"/>
        <v>2.3333333333333335</v>
      </c>
      <c r="X23" s="41"/>
      <c r="Y23" s="7">
        <f t="shared" si="15"/>
        <v>0</v>
      </c>
      <c r="Z23" s="23">
        <f>IF(X23="A",0,VLOOKUP(Y23,'Transmutation Table'!$A$2:$B$32,2))</f>
        <v>70</v>
      </c>
      <c r="AA23" s="7">
        <f t="shared" si="16"/>
        <v>2.3333333333333335</v>
      </c>
      <c r="AB23" s="41"/>
      <c r="AC23" s="7">
        <f t="shared" si="17"/>
        <v>0</v>
      </c>
      <c r="AD23" s="23">
        <f>IF(AB23="A",0,VLOOKUP(AC23,'Transmutation Table'!$A$2:$B$32,2))</f>
        <v>70</v>
      </c>
      <c r="AE23" s="7">
        <f t="shared" si="18"/>
        <v>2.3333333333333335</v>
      </c>
      <c r="AF23" s="17">
        <f t="shared" si="19"/>
        <v>7</v>
      </c>
      <c r="AG23" s="41"/>
      <c r="AH23" s="7">
        <f t="shared" si="20"/>
        <v>0</v>
      </c>
      <c r="AI23" s="23">
        <f>IF(AG23="A",0,VLOOKUP(AH23,'Transmutation Table'!$A$2:$B$32,2))</f>
        <v>70</v>
      </c>
      <c r="AJ23" s="7">
        <f t="shared" si="21"/>
        <v>4.666666666666667</v>
      </c>
      <c r="AK23" s="41"/>
      <c r="AL23" s="7">
        <f t="shared" si="22"/>
        <v>0</v>
      </c>
      <c r="AM23" s="23">
        <f>IF(AK23="A",0,VLOOKUP(AL23,'Transmutation Table'!$A$2:$B$32,2))</f>
        <v>70</v>
      </c>
      <c r="AN23" s="7">
        <f t="shared" si="23"/>
        <v>4.666666666666667</v>
      </c>
      <c r="AO23" s="41"/>
      <c r="AP23" s="7">
        <f t="shared" si="24"/>
        <v>0</v>
      </c>
      <c r="AQ23" s="23">
        <f>IF(AO23="A",0,VLOOKUP(AP23,'Transmutation Table'!$A$2:$B$32,2))</f>
        <v>70</v>
      </c>
      <c r="AR23" s="7">
        <f t="shared" si="25"/>
        <v>4.666666666666667</v>
      </c>
      <c r="AS23" s="17">
        <f t="shared" si="1"/>
        <v>14</v>
      </c>
      <c r="AT23" s="7">
        <f t="shared" si="2"/>
        <v>0</v>
      </c>
      <c r="AU23" s="7">
        <f t="shared" si="3"/>
        <v>70</v>
      </c>
      <c r="AV23" s="25">
        <f t="shared" si="4"/>
        <v>26</v>
      </c>
      <c r="AW23" s="41"/>
      <c r="AX23" s="41"/>
      <c r="AY23" s="16">
        <f t="shared" si="0"/>
        <v>0</v>
      </c>
      <c r="AZ23" s="16">
        <f t="shared" si="26"/>
        <v>50</v>
      </c>
      <c r="BA23" s="7">
        <f t="shared" si="27"/>
        <v>2.5</v>
      </c>
      <c r="BB23" s="41"/>
      <c r="BC23" s="7">
        <f t="shared" si="28"/>
        <v>0</v>
      </c>
      <c r="BD23" s="23">
        <f>IF(BB23="A",0,VLOOKUP(BC23,'Transmutation Table'!$A$2:$B$32,2))</f>
        <v>70</v>
      </c>
      <c r="BE23" s="7">
        <f t="shared" si="29"/>
        <v>2.3333333333333335</v>
      </c>
      <c r="BF23" s="41"/>
      <c r="BG23" s="7">
        <f t="shared" si="30"/>
        <v>0</v>
      </c>
      <c r="BH23" s="23">
        <f>IF(BF23="A",0,VLOOKUP(BG23,'Transmutation Table'!$A$2:$B$32,2))</f>
        <v>70</v>
      </c>
      <c r="BI23" s="7">
        <f t="shared" si="31"/>
        <v>2.3333333333333335</v>
      </c>
      <c r="BJ23" s="41"/>
      <c r="BK23" s="7">
        <f>IFERROR(BJ23/#REF!*100,0)</f>
        <v>0</v>
      </c>
      <c r="BL23" s="23">
        <f>IF(BJ23="A",0,VLOOKUP(BK23,'Transmutation Table'!$A$2:$B$32,2))</f>
        <v>70</v>
      </c>
      <c r="BM23" s="7">
        <f t="shared" si="32"/>
        <v>2.3333333333333335</v>
      </c>
      <c r="BN23" s="7">
        <f t="shared" si="33"/>
        <v>7</v>
      </c>
      <c r="BO23" s="7">
        <f>AVERAGE(AY23)</f>
        <v>0</v>
      </c>
      <c r="BP23" s="7">
        <f t="shared" si="35"/>
        <v>50</v>
      </c>
      <c r="BQ23" s="13">
        <f>SUM(BA23,BN23)</f>
        <v>9.5</v>
      </c>
      <c r="BR23" s="7">
        <f t="shared" si="5"/>
        <v>70.5</v>
      </c>
      <c r="BS23" s="23">
        <f>IFERROR(VLOOKUP(BR23,'Transmutation Table'!$B$2:$V$32,2),5)</f>
        <v>5</v>
      </c>
      <c r="BT23" s="19" t="str">
        <f t="shared" si="37"/>
        <v>FAILED</v>
      </c>
    </row>
    <row r="24" spans="1:74" ht="14.4" customHeight="1" x14ac:dyDescent="0.25">
      <c r="A24" s="8">
        <v>11</v>
      </c>
      <c r="B24" s="74" t="s">
        <v>76</v>
      </c>
      <c r="C24" s="75"/>
      <c r="D24" s="47"/>
      <c r="E24" s="14" t="str">
        <f t="shared" si="6"/>
        <v>/10</v>
      </c>
      <c r="F24" s="27">
        <f>IFERROR(VLOOKUP((D24/$F$12)*100,'Transmutation Table'!$A$2:$B$32,2),0)</f>
        <v>70</v>
      </c>
      <c r="G24" s="12">
        <f t="shared" si="7"/>
        <v>35</v>
      </c>
      <c r="H24" s="18"/>
      <c r="I24" s="18"/>
      <c r="J24" s="18"/>
      <c r="K24" s="18"/>
      <c r="L24" s="18"/>
      <c r="M24" s="18"/>
      <c r="N24" s="18"/>
      <c r="O24" s="17">
        <f t="shared" si="8"/>
        <v>0</v>
      </c>
      <c r="P24" s="17">
        <f t="shared" ref="P24:P53" si="38">COUNTA(H24:N24)</f>
        <v>0</v>
      </c>
      <c r="Q24" s="7">
        <f t="shared" ref="Q24:Q53" si="39">(P24-O24)*$Q$12</f>
        <v>0</v>
      </c>
      <c r="R24" s="7">
        <f t="shared" ref="R24:R53" si="40">100-(Q24*$P$13)</f>
        <v>100</v>
      </c>
      <c r="S24" s="44">
        <f t="shared" ref="S24:S53" si="41">R24*$S$13</f>
        <v>5</v>
      </c>
      <c r="T24" s="41"/>
      <c r="U24" s="7">
        <f t="shared" si="13"/>
        <v>0</v>
      </c>
      <c r="V24" s="23">
        <f>IF(T24="A",0,VLOOKUP(U24,'Transmutation Table'!$A$2:$B$32,2))</f>
        <v>70</v>
      </c>
      <c r="W24" s="7">
        <f t="shared" ref="W24:W53" si="42">V24*$W$13</f>
        <v>2.3333333333333335</v>
      </c>
      <c r="X24" s="41"/>
      <c r="Y24" s="7">
        <f t="shared" ref="Y24:Y53" si="43">IFERROR(X24/$X$13*100,0)</f>
        <v>0</v>
      </c>
      <c r="Z24" s="23">
        <f>IF(X24="A",0,VLOOKUP(Y24,'Transmutation Table'!$A$2:$B$32,2))</f>
        <v>70</v>
      </c>
      <c r="AA24" s="7">
        <f t="shared" ref="AA24:AA53" si="44">Z24*$AA$13</f>
        <v>2.3333333333333335</v>
      </c>
      <c r="AB24" s="41"/>
      <c r="AC24" s="7">
        <f t="shared" si="17"/>
        <v>0</v>
      </c>
      <c r="AD24" s="23">
        <f>IF(AB24="A",0,VLOOKUP(AC24,'Transmutation Table'!$A$2:$B$32,2))</f>
        <v>70</v>
      </c>
      <c r="AE24" s="7">
        <f t="shared" si="18"/>
        <v>2.3333333333333335</v>
      </c>
      <c r="AF24" s="17">
        <f t="shared" si="19"/>
        <v>7</v>
      </c>
      <c r="AG24" s="41"/>
      <c r="AH24" s="7">
        <f t="shared" si="20"/>
        <v>0</v>
      </c>
      <c r="AI24" s="23">
        <f>IF(AG24="A",0,VLOOKUP(AH24,'Transmutation Table'!$A$2:$B$32,2))</f>
        <v>70</v>
      </c>
      <c r="AJ24" s="7">
        <f t="shared" ref="AJ24:AJ53" si="45">AI24*$AJ$13</f>
        <v>4.666666666666667</v>
      </c>
      <c r="AK24" s="41"/>
      <c r="AL24" s="7">
        <f t="shared" si="22"/>
        <v>0</v>
      </c>
      <c r="AM24" s="23">
        <f>IF(AK24="A",0,VLOOKUP(AL24,'Transmutation Table'!$A$2:$B$32,2))</f>
        <v>70</v>
      </c>
      <c r="AN24" s="7">
        <f t="shared" ref="AN24:AN53" si="46">AM24*$AN$13</f>
        <v>4.666666666666667</v>
      </c>
      <c r="AO24" s="41"/>
      <c r="AP24" s="7">
        <f t="shared" si="24"/>
        <v>0</v>
      </c>
      <c r="AQ24" s="23">
        <f>IF(AO24="A",0,VLOOKUP(AP24,'Transmutation Table'!$A$2:$B$32,2))</f>
        <v>70</v>
      </c>
      <c r="AR24" s="7">
        <f t="shared" ref="AR24:AR53" si="47">AQ24*$AR$13</f>
        <v>4.666666666666667</v>
      </c>
      <c r="AS24" s="17">
        <f t="shared" si="1"/>
        <v>14</v>
      </c>
      <c r="AT24" s="7">
        <f t="shared" si="2"/>
        <v>0</v>
      </c>
      <c r="AU24" s="7">
        <f t="shared" si="3"/>
        <v>70</v>
      </c>
      <c r="AV24" s="25">
        <f t="shared" si="4"/>
        <v>26</v>
      </c>
      <c r="AW24" s="41"/>
      <c r="AX24" s="41"/>
      <c r="AY24" s="16">
        <f t="shared" ref="AY24:AY53" si="48">SUM(AW24:AX24)</f>
        <v>0</v>
      </c>
      <c r="AZ24" s="16">
        <f t="shared" si="26"/>
        <v>50</v>
      </c>
      <c r="BA24" s="7">
        <f t="shared" si="27"/>
        <v>2.5</v>
      </c>
      <c r="BB24" s="41"/>
      <c r="BC24" s="7">
        <f t="shared" si="28"/>
        <v>0</v>
      </c>
      <c r="BD24" s="23">
        <f>IF(BB24="A",0,VLOOKUP(BC24,'Transmutation Table'!$A$2:$B$32,2))</f>
        <v>70</v>
      </c>
      <c r="BE24" s="7">
        <f t="shared" ref="BE24:BE53" si="49">BD24*$BE$13</f>
        <v>2.3333333333333335</v>
      </c>
      <c r="BF24" s="41"/>
      <c r="BG24" s="7">
        <f t="shared" ref="BG24:BG53" si="50">IFERROR(BF24/$X$13*100,0)</f>
        <v>0</v>
      </c>
      <c r="BH24" s="23">
        <f>IF(BF24="A",0,VLOOKUP(BG24,'Transmutation Table'!$A$2:$B$32,2))</f>
        <v>70</v>
      </c>
      <c r="BI24" s="7">
        <f t="shared" ref="BI24:BI53" si="51">BH24*$BI$13</f>
        <v>2.3333333333333335</v>
      </c>
      <c r="BJ24" s="41"/>
      <c r="BK24" s="7">
        <f>IFERROR(BJ24/#REF!*100,0)</f>
        <v>0</v>
      </c>
      <c r="BL24" s="23">
        <f>IF(BJ24="A",0,VLOOKUP(BK24,'Transmutation Table'!$A$2:$B$32,2))</f>
        <v>70</v>
      </c>
      <c r="BM24" s="7">
        <f t="shared" ref="BM24:BM53" si="52">BL24*$BM$13</f>
        <v>2.3333333333333335</v>
      </c>
      <c r="BN24" s="7">
        <f t="shared" ref="BN24:BN53" si="53">SUM(BE24,BI24,BM24)</f>
        <v>7</v>
      </c>
      <c r="BO24" s="7">
        <f t="shared" si="34"/>
        <v>0</v>
      </c>
      <c r="BP24" s="7">
        <f t="shared" si="35"/>
        <v>50</v>
      </c>
      <c r="BQ24" s="13">
        <f t="shared" ref="BQ24:BQ53" si="54">SUM(BA24,BN24)</f>
        <v>9.5</v>
      </c>
      <c r="BR24" s="7">
        <f t="shared" si="5"/>
        <v>70.5</v>
      </c>
      <c r="BS24" s="23">
        <f>IFERROR(VLOOKUP(BR24,'Transmutation Table'!$B$2:$V$32,2),5)</f>
        <v>5</v>
      </c>
      <c r="BT24" s="19" t="str">
        <f t="shared" ref="BT24:BT53" si="55">IF(BR24&gt;=75,"PASSED","FAILED")</f>
        <v>FAILED</v>
      </c>
    </row>
    <row r="25" spans="1:74" ht="14.4" customHeight="1" x14ac:dyDescent="0.25">
      <c r="A25" s="8">
        <v>12</v>
      </c>
      <c r="B25" s="74" t="s">
        <v>77</v>
      </c>
      <c r="C25" s="75"/>
      <c r="D25" s="47"/>
      <c r="E25" s="14" t="str">
        <f t="shared" si="6"/>
        <v>/10</v>
      </c>
      <c r="F25" s="27">
        <f>IFERROR(VLOOKUP((D25/$F$12)*100,'Transmutation Table'!$A$2:$B$32,2),0)</f>
        <v>70</v>
      </c>
      <c r="G25" s="12">
        <f t="shared" si="7"/>
        <v>35</v>
      </c>
      <c r="H25" s="18"/>
      <c r="I25" s="18"/>
      <c r="J25" s="18"/>
      <c r="K25" s="18"/>
      <c r="L25" s="18"/>
      <c r="M25" s="18"/>
      <c r="N25" s="18"/>
      <c r="O25" s="17">
        <f t="shared" si="8"/>
        <v>0</v>
      </c>
      <c r="P25" s="17">
        <f t="shared" si="38"/>
        <v>0</v>
      </c>
      <c r="Q25" s="7">
        <f t="shared" si="39"/>
        <v>0</v>
      </c>
      <c r="R25" s="7">
        <f t="shared" si="40"/>
        <v>100</v>
      </c>
      <c r="S25" s="44">
        <f t="shared" si="41"/>
        <v>5</v>
      </c>
      <c r="T25" s="41"/>
      <c r="U25" s="7">
        <f t="shared" si="13"/>
        <v>0</v>
      </c>
      <c r="V25" s="23">
        <f>IF(T25="A",0,VLOOKUP(U25,'Transmutation Table'!$A$2:$B$32,2))</f>
        <v>70</v>
      </c>
      <c r="W25" s="7">
        <f t="shared" si="42"/>
        <v>2.3333333333333335</v>
      </c>
      <c r="X25" s="41"/>
      <c r="Y25" s="7">
        <f t="shared" si="43"/>
        <v>0</v>
      </c>
      <c r="Z25" s="23">
        <f>IF(X25="A",0,VLOOKUP(Y25,'Transmutation Table'!$A$2:$B$32,2))</f>
        <v>70</v>
      </c>
      <c r="AA25" s="7">
        <f t="shared" si="44"/>
        <v>2.3333333333333335</v>
      </c>
      <c r="AB25" s="41"/>
      <c r="AC25" s="7">
        <f t="shared" si="17"/>
        <v>0</v>
      </c>
      <c r="AD25" s="23">
        <f>IF(AB25="A",0,VLOOKUP(AC25,'Transmutation Table'!$A$2:$B$32,2))</f>
        <v>70</v>
      </c>
      <c r="AE25" s="7">
        <f t="shared" si="18"/>
        <v>2.3333333333333335</v>
      </c>
      <c r="AF25" s="17">
        <f t="shared" si="19"/>
        <v>7</v>
      </c>
      <c r="AG25" s="41"/>
      <c r="AH25" s="7">
        <f t="shared" si="20"/>
        <v>0</v>
      </c>
      <c r="AI25" s="23">
        <f>IF(AG25="A",0,VLOOKUP(AH25,'Transmutation Table'!$A$2:$B$32,2))</f>
        <v>70</v>
      </c>
      <c r="AJ25" s="7">
        <f t="shared" si="45"/>
        <v>4.666666666666667</v>
      </c>
      <c r="AK25" s="41"/>
      <c r="AL25" s="7">
        <f t="shared" si="22"/>
        <v>0</v>
      </c>
      <c r="AM25" s="23">
        <f>IF(AK25="A",0,VLOOKUP(AL25,'Transmutation Table'!$A$2:$B$32,2))</f>
        <v>70</v>
      </c>
      <c r="AN25" s="7">
        <f t="shared" si="46"/>
        <v>4.666666666666667</v>
      </c>
      <c r="AO25" s="41"/>
      <c r="AP25" s="7">
        <f t="shared" si="24"/>
        <v>0</v>
      </c>
      <c r="AQ25" s="23">
        <f>IF(AO25="A",0,VLOOKUP(AP25,'Transmutation Table'!$A$2:$B$32,2))</f>
        <v>70</v>
      </c>
      <c r="AR25" s="7">
        <f t="shared" si="47"/>
        <v>4.666666666666667</v>
      </c>
      <c r="AS25" s="17">
        <f t="shared" si="1"/>
        <v>14</v>
      </c>
      <c r="AT25" s="7">
        <f t="shared" si="2"/>
        <v>0</v>
      </c>
      <c r="AU25" s="7">
        <f t="shared" si="3"/>
        <v>70</v>
      </c>
      <c r="AV25" s="25">
        <f t="shared" si="4"/>
        <v>26</v>
      </c>
      <c r="AW25" s="41"/>
      <c r="AX25" s="41"/>
      <c r="AY25" s="16">
        <f t="shared" si="48"/>
        <v>0</v>
      </c>
      <c r="AZ25" s="16">
        <f t="shared" si="26"/>
        <v>50</v>
      </c>
      <c r="BA25" s="7">
        <f t="shared" si="27"/>
        <v>2.5</v>
      </c>
      <c r="BB25" s="41"/>
      <c r="BC25" s="7">
        <f t="shared" si="28"/>
        <v>0</v>
      </c>
      <c r="BD25" s="23">
        <f>IF(BB25="A",0,VLOOKUP(BC25,'Transmutation Table'!$A$2:$B$32,2))</f>
        <v>70</v>
      </c>
      <c r="BE25" s="7">
        <f t="shared" si="49"/>
        <v>2.3333333333333335</v>
      </c>
      <c r="BF25" s="41"/>
      <c r="BG25" s="7">
        <f t="shared" si="50"/>
        <v>0</v>
      </c>
      <c r="BH25" s="23">
        <f>IF(BF25="A",0,VLOOKUP(BG25,'Transmutation Table'!$A$2:$B$32,2))</f>
        <v>70</v>
      </c>
      <c r="BI25" s="7">
        <f t="shared" si="51"/>
        <v>2.3333333333333335</v>
      </c>
      <c r="BJ25" s="41"/>
      <c r="BK25" s="7">
        <f>IFERROR(BJ25/#REF!*100,0)</f>
        <v>0</v>
      </c>
      <c r="BL25" s="23">
        <f>IF(BJ25="A",0,VLOOKUP(BK25,'Transmutation Table'!$A$2:$B$32,2))</f>
        <v>70</v>
      </c>
      <c r="BM25" s="7">
        <f t="shared" si="52"/>
        <v>2.3333333333333335</v>
      </c>
      <c r="BN25" s="7">
        <f t="shared" si="53"/>
        <v>7</v>
      </c>
      <c r="BO25" s="7">
        <f t="shared" si="34"/>
        <v>0</v>
      </c>
      <c r="BP25" s="7">
        <f t="shared" si="35"/>
        <v>50</v>
      </c>
      <c r="BQ25" s="13">
        <f t="shared" si="54"/>
        <v>9.5</v>
      </c>
      <c r="BR25" s="7">
        <f t="shared" si="5"/>
        <v>70.5</v>
      </c>
      <c r="BS25" s="23">
        <f>IFERROR(VLOOKUP(BR25,'Transmutation Table'!$B$2:$V$32,2),5)</f>
        <v>5</v>
      </c>
      <c r="BT25" s="19" t="str">
        <f t="shared" si="55"/>
        <v>FAILED</v>
      </c>
    </row>
    <row r="26" spans="1:74" ht="14.4" customHeight="1" x14ac:dyDescent="0.25">
      <c r="A26" s="8">
        <v>13</v>
      </c>
      <c r="B26" s="74" t="s">
        <v>78</v>
      </c>
      <c r="C26" s="75"/>
      <c r="D26" s="47"/>
      <c r="E26" s="14" t="str">
        <f t="shared" si="6"/>
        <v>/10</v>
      </c>
      <c r="F26" s="27">
        <f>IFERROR(VLOOKUP((D26/$F$12)*100,'Transmutation Table'!$A$2:$B$32,2),0)</f>
        <v>70</v>
      </c>
      <c r="G26" s="12">
        <f t="shared" si="7"/>
        <v>35</v>
      </c>
      <c r="H26" s="18"/>
      <c r="I26" s="18"/>
      <c r="J26" s="18"/>
      <c r="K26" s="18"/>
      <c r="L26" s="18"/>
      <c r="M26" s="18"/>
      <c r="N26" s="18"/>
      <c r="O26" s="17">
        <f t="shared" si="8"/>
        <v>0</v>
      </c>
      <c r="P26" s="17">
        <f t="shared" si="38"/>
        <v>0</v>
      </c>
      <c r="Q26" s="7">
        <f t="shared" si="39"/>
        <v>0</v>
      </c>
      <c r="R26" s="7">
        <f t="shared" si="40"/>
        <v>100</v>
      </c>
      <c r="S26" s="44">
        <f t="shared" si="41"/>
        <v>5</v>
      </c>
      <c r="T26" s="41"/>
      <c r="U26" s="7">
        <f t="shared" si="13"/>
        <v>0</v>
      </c>
      <c r="V26" s="23">
        <f>IF(T26="A",0,VLOOKUP(U26,'Transmutation Table'!$A$2:$B$32,2))</f>
        <v>70</v>
      </c>
      <c r="W26" s="7">
        <f t="shared" si="42"/>
        <v>2.3333333333333335</v>
      </c>
      <c r="X26" s="41"/>
      <c r="Y26" s="7">
        <f t="shared" si="43"/>
        <v>0</v>
      </c>
      <c r="Z26" s="23">
        <f>IF(X26="A",0,VLOOKUP(Y26,'Transmutation Table'!$A$2:$B$32,2))</f>
        <v>70</v>
      </c>
      <c r="AA26" s="7">
        <f t="shared" si="44"/>
        <v>2.3333333333333335</v>
      </c>
      <c r="AB26" s="41"/>
      <c r="AC26" s="7">
        <f t="shared" si="17"/>
        <v>0</v>
      </c>
      <c r="AD26" s="23">
        <f>IF(AB26="A",0,VLOOKUP(AC26,'Transmutation Table'!$A$2:$B$32,2))</f>
        <v>70</v>
      </c>
      <c r="AE26" s="7">
        <f t="shared" si="18"/>
        <v>2.3333333333333335</v>
      </c>
      <c r="AF26" s="17">
        <f t="shared" si="19"/>
        <v>7</v>
      </c>
      <c r="AG26" s="41"/>
      <c r="AH26" s="7">
        <f t="shared" si="20"/>
        <v>0</v>
      </c>
      <c r="AI26" s="23">
        <f>IF(AG26="A",0,VLOOKUP(AH26,'Transmutation Table'!$A$2:$B$32,2))</f>
        <v>70</v>
      </c>
      <c r="AJ26" s="7">
        <f t="shared" si="45"/>
        <v>4.666666666666667</v>
      </c>
      <c r="AK26" s="41"/>
      <c r="AL26" s="7">
        <f t="shared" si="22"/>
        <v>0</v>
      </c>
      <c r="AM26" s="23">
        <f>IF(AK26="A",0,VLOOKUP(AL26,'Transmutation Table'!$A$2:$B$32,2))</f>
        <v>70</v>
      </c>
      <c r="AN26" s="7">
        <f t="shared" si="46"/>
        <v>4.666666666666667</v>
      </c>
      <c r="AO26" s="41"/>
      <c r="AP26" s="7">
        <f t="shared" si="24"/>
        <v>0</v>
      </c>
      <c r="AQ26" s="23">
        <f>IF(AO26="A",0,VLOOKUP(AP26,'Transmutation Table'!$A$2:$B$32,2))</f>
        <v>70</v>
      </c>
      <c r="AR26" s="7">
        <f t="shared" si="47"/>
        <v>4.666666666666667</v>
      </c>
      <c r="AS26" s="17">
        <f t="shared" si="1"/>
        <v>14</v>
      </c>
      <c r="AT26" s="7">
        <f t="shared" si="2"/>
        <v>0</v>
      </c>
      <c r="AU26" s="7">
        <f t="shared" si="3"/>
        <v>70</v>
      </c>
      <c r="AV26" s="25">
        <f t="shared" si="4"/>
        <v>26</v>
      </c>
      <c r="AW26" s="41"/>
      <c r="AX26" s="41"/>
      <c r="AY26" s="16">
        <f t="shared" si="48"/>
        <v>0</v>
      </c>
      <c r="AZ26" s="16">
        <f t="shared" si="26"/>
        <v>50</v>
      </c>
      <c r="BA26" s="7">
        <f t="shared" si="27"/>
        <v>2.5</v>
      </c>
      <c r="BB26" s="41"/>
      <c r="BC26" s="7">
        <f t="shared" si="28"/>
        <v>0</v>
      </c>
      <c r="BD26" s="23">
        <f>IF(BB26="A",0,VLOOKUP(BC26,'Transmutation Table'!$A$2:$B$32,2))</f>
        <v>70</v>
      </c>
      <c r="BE26" s="7">
        <f t="shared" si="49"/>
        <v>2.3333333333333335</v>
      </c>
      <c r="BF26" s="41"/>
      <c r="BG26" s="7">
        <f t="shared" si="50"/>
        <v>0</v>
      </c>
      <c r="BH26" s="23">
        <f>IF(BF26="A",0,VLOOKUP(BG26,'Transmutation Table'!$A$2:$B$32,2))</f>
        <v>70</v>
      </c>
      <c r="BI26" s="7">
        <f t="shared" si="51"/>
        <v>2.3333333333333335</v>
      </c>
      <c r="BJ26" s="41"/>
      <c r="BK26" s="7">
        <f>IFERROR(BJ26/#REF!*100,0)</f>
        <v>0</v>
      </c>
      <c r="BL26" s="23">
        <f>IF(BJ26="A",0,VLOOKUP(BK26,'Transmutation Table'!$A$2:$B$32,2))</f>
        <v>70</v>
      </c>
      <c r="BM26" s="7">
        <f t="shared" si="52"/>
        <v>2.3333333333333335</v>
      </c>
      <c r="BN26" s="7">
        <f t="shared" si="53"/>
        <v>7</v>
      </c>
      <c r="BO26" s="7">
        <f t="shared" si="34"/>
        <v>0</v>
      </c>
      <c r="BP26" s="7">
        <f t="shared" si="35"/>
        <v>50</v>
      </c>
      <c r="BQ26" s="13">
        <f t="shared" si="54"/>
        <v>9.5</v>
      </c>
      <c r="BR26" s="7">
        <f t="shared" si="5"/>
        <v>70.5</v>
      </c>
      <c r="BS26" s="23">
        <f>IFERROR(VLOOKUP(BR26,'Transmutation Table'!$B$2:$V$32,2),5)</f>
        <v>5</v>
      </c>
      <c r="BT26" s="19" t="str">
        <f t="shared" si="55"/>
        <v>FAILED</v>
      </c>
    </row>
    <row r="27" spans="1:74" ht="14.4" customHeight="1" x14ac:dyDescent="0.25">
      <c r="A27" s="8">
        <v>14</v>
      </c>
      <c r="B27" s="74" t="s">
        <v>79</v>
      </c>
      <c r="C27" s="75"/>
      <c r="D27" s="47"/>
      <c r="E27" s="14" t="str">
        <f t="shared" si="6"/>
        <v>/10</v>
      </c>
      <c r="F27" s="27">
        <f>IFERROR(VLOOKUP((D27/$F$12)*100,'Transmutation Table'!$A$2:$B$32,2),0)</f>
        <v>70</v>
      </c>
      <c r="G27" s="12">
        <f t="shared" si="7"/>
        <v>35</v>
      </c>
      <c r="H27" s="18"/>
      <c r="I27" s="18"/>
      <c r="J27" s="18"/>
      <c r="K27" s="18"/>
      <c r="L27" s="18"/>
      <c r="M27" s="18"/>
      <c r="N27" s="18"/>
      <c r="O27" s="17">
        <f t="shared" si="8"/>
        <v>0</v>
      </c>
      <c r="P27" s="17">
        <f t="shared" si="38"/>
        <v>0</v>
      </c>
      <c r="Q27" s="7">
        <f t="shared" si="39"/>
        <v>0</v>
      </c>
      <c r="R27" s="7">
        <f t="shared" si="40"/>
        <v>100</v>
      </c>
      <c r="S27" s="44">
        <f t="shared" si="41"/>
        <v>5</v>
      </c>
      <c r="T27" s="41"/>
      <c r="U27" s="7">
        <f t="shared" si="13"/>
        <v>0</v>
      </c>
      <c r="V27" s="23">
        <f>IF(T27="A",0,VLOOKUP(U27,'Transmutation Table'!$A$2:$B$32,2))</f>
        <v>70</v>
      </c>
      <c r="W27" s="7">
        <f t="shared" si="42"/>
        <v>2.3333333333333335</v>
      </c>
      <c r="X27" s="41"/>
      <c r="Y27" s="7">
        <f t="shared" si="43"/>
        <v>0</v>
      </c>
      <c r="Z27" s="23">
        <f>IF(X27="A",0,VLOOKUP(Y27,'Transmutation Table'!$A$2:$B$32,2))</f>
        <v>70</v>
      </c>
      <c r="AA27" s="7">
        <f t="shared" si="44"/>
        <v>2.3333333333333335</v>
      </c>
      <c r="AB27" s="41"/>
      <c r="AC27" s="7">
        <f t="shared" si="17"/>
        <v>0</v>
      </c>
      <c r="AD27" s="23">
        <f>IF(AB27="A",0,VLOOKUP(AC27,'Transmutation Table'!$A$2:$B$32,2))</f>
        <v>70</v>
      </c>
      <c r="AE27" s="7">
        <f t="shared" si="18"/>
        <v>2.3333333333333335</v>
      </c>
      <c r="AF27" s="17">
        <f t="shared" si="19"/>
        <v>7</v>
      </c>
      <c r="AG27" s="41"/>
      <c r="AH27" s="7">
        <f t="shared" si="20"/>
        <v>0</v>
      </c>
      <c r="AI27" s="23">
        <f>IF(AG27="A",0,VLOOKUP(AH27,'Transmutation Table'!$A$2:$B$32,2))</f>
        <v>70</v>
      </c>
      <c r="AJ27" s="7">
        <f t="shared" si="45"/>
        <v>4.666666666666667</v>
      </c>
      <c r="AK27" s="41"/>
      <c r="AL27" s="7">
        <f t="shared" si="22"/>
        <v>0</v>
      </c>
      <c r="AM27" s="23">
        <f>IF(AK27="A",0,VLOOKUP(AL27,'Transmutation Table'!$A$2:$B$32,2))</f>
        <v>70</v>
      </c>
      <c r="AN27" s="7">
        <f t="shared" si="46"/>
        <v>4.666666666666667</v>
      </c>
      <c r="AO27" s="41"/>
      <c r="AP27" s="7">
        <f t="shared" si="24"/>
        <v>0</v>
      </c>
      <c r="AQ27" s="23">
        <f>IF(AO27="A",0,VLOOKUP(AP27,'Transmutation Table'!$A$2:$B$32,2))</f>
        <v>70</v>
      </c>
      <c r="AR27" s="7">
        <f t="shared" si="47"/>
        <v>4.666666666666667</v>
      </c>
      <c r="AS27" s="17">
        <f t="shared" si="1"/>
        <v>14</v>
      </c>
      <c r="AT27" s="7">
        <f t="shared" si="2"/>
        <v>0</v>
      </c>
      <c r="AU27" s="7">
        <f t="shared" si="3"/>
        <v>70</v>
      </c>
      <c r="AV27" s="25">
        <f t="shared" si="4"/>
        <v>26</v>
      </c>
      <c r="AW27" s="41"/>
      <c r="AX27" s="41"/>
      <c r="AY27" s="16">
        <f t="shared" si="48"/>
        <v>0</v>
      </c>
      <c r="AZ27" s="16">
        <f t="shared" si="26"/>
        <v>50</v>
      </c>
      <c r="BA27" s="7">
        <f t="shared" si="27"/>
        <v>2.5</v>
      </c>
      <c r="BB27" s="41"/>
      <c r="BC27" s="7">
        <f t="shared" si="28"/>
        <v>0</v>
      </c>
      <c r="BD27" s="23">
        <f>IF(BB27="A",0,VLOOKUP(BC27,'Transmutation Table'!$A$2:$B$32,2))</f>
        <v>70</v>
      </c>
      <c r="BE27" s="7">
        <f t="shared" si="49"/>
        <v>2.3333333333333335</v>
      </c>
      <c r="BF27" s="41"/>
      <c r="BG27" s="7">
        <f t="shared" si="50"/>
        <v>0</v>
      </c>
      <c r="BH27" s="23">
        <f>IF(BF27="A",0,VLOOKUP(BG27,'Transmutation Table'!$A$2:$B$32,2))</f>
        <v>70</v>
      </c>
      <c r="BI27" s="7">
        <f t="shared" si="51"/>
        <v>2.3333333333333335</v>
      </c>
      <c r="BJ27" s="41"/>
      <c r="BK27" s="7">
        <f>IFERROR(BJ27/#REF!*100,0)</f>
        <v>0</v>
      </c>
      <c r="BL27" s="23">
        <f>IF(BJ27="A",0,VLOOKUP(BK27,'Transmutation Table'!$A$2:$B$32,2))</f>
        <v>70</v>
      </c>
      <c r="BM27" s="7">
        <f t="shared" si="52"/>
        <v>2.3333333333333335</v>
      </c>
      <c r="BN27" s="7">
        <f t="shared" si="53"/>
        <v>7</v>
      </c>
      <c r="BO27" s="7">
        <f t="shared" si="34"/>
        <v>0</v>
      </c>
      <c r="BP27" s="7">
        <f t="shared" si="35"/>
        <v>50</v>
      </c>
      <c r="BQ27" s="13">
        <f t="shared" si="54"/>
        <v>9.5</v>
      </c>
      <c r="BR27" s="7">
        <f t="shared" si="5"/>
        <v>70.5</v>
      </c>
      <c r="BS27" s="23">
        <f>IFERROR(VLOOKUP(BR27,'Transmutation Table'!$B$2:$V$32,2),5)</f>
        <v>5</v>
      </c>
      <c r="BT27" s="19" t="str">
        <f t="shared" si="55"/>
        <v>FAILED</v>
      </c>
    </row>
    <row r="28" spans="1:74" ht="14.4" customHeight="1" x14ac:dyDescent="0.25">
      <c r="A28" s="8">
        <v>15</v>
      </c>
      <c r="B28" s="74" t="s">
        <v>80</v>
      </c>
      <c r="C28" s="75"/>
      <c r="D28" s="47"/>
      <c r="E28" s="14" t="str">
        <f t="shared" si="6"/>
        <v>/10</v>
      </c>
      <c r="F28" s="27">
        <f>IFERROR(VLOOKUP((D28/$F$12)*100,'Transmutation Table'!$A$2:$B$32,2),0)</f>
        <v>70</v>
      </c>
      <c r="G28" s="12">
        <f t="shared" si="7"/>
        <v>35</v>
      </c>
      <c r="H28" s="18"/>
      <c r="I28" s="18"/>
      <c r="J28" s="18"/>
      <c r="K28" s="18"/>
      <c r="L28" s="18"/>
      <c r="M28" s="18"/>
      <c r="N28" s="18"/>
      <c r="O28" s="17">
        <f t="shared" si="8"/>
        <v>0</v>
      </c>
      <c r="P28" s="17">
        <f t="shared" si="38"/>
        <v>0</v>
      </c>
      <c r="Q28" s="7">
        <f t="shared" si="39"/>
        <v>0</v>
      </c>
      <c r="R28" s="7">
        <f t="shared" si="40"/>
        <v>100</v>
      </c>
      <c r="S28" s="44">
        <f t="shared" si="41"/>
        <v>5</v>
      </c>
      <c r="T28" s="41"/>
      <c r="U28" s="7">
        <f t="shared" si="13"/>
        <v>0</v>
      </c>
      <c r="V28" s="23">
        <f>IF(T28="A",0,VLOOKUP(U28,'Transmutation Table'!$A$2:$B$32,2))</f>
        <v>70</v>
      </c>
      <c r="W28" s="7">
        <f t="shared" si="42"/>
        <v>2.3333333333333335</v>
      </c>
      <c r="X28" s="41"/>
      <c r="Y28" s="7">
        <f t="shared" si="43"/>
        <v>0</v>
      </c>
      <c r="Z28" s="23">
        <f>IF(X28="A",0,VLOOKUP(Y28,'Transmutation Table'!$A$2:$B$32,2))</f>
        <v>70</v>
      </c>
      <c r="AA28" s="7">
        <f t="shared" si="44"/>
        <v>2.3333333333333335</v>
      </c>
      <c r="AB28" s="41"/>
      <c r="AC28" s="7">
        <f t="shared" si="17"/>
        <v>0</v>
      </c>
      <c r="AD28" s="23">
        <f>IF(AB28="A",0,VLOOKUP(AC28,'Transmutation Table'!$A$2:$B$32,2))</f>
        <v>70</v>
      </c>
      <c r="AE28" s="7">
        <f t="shared" si="18"/>
        <v>2.3333333333333335</v>
      </c>
      <c r="AF28" s="17">
        <f t="shared" si="19"/>
        <v>7</v>
      </c>
      <c r="AG28" s="41"/>
      <c r="AH28" s="7">
        <f t="shared" si="20"/>
        <v>0</v>
      </c>
      <c r="AI28" s="23">
        <f>IF(AG28="A",0,VLOOKUP(AH28,'Transmutation Table'!$A$2:$B$32,2))</f>
        <v>70</v>
      </c>
      <c r="AJ28" s="7">
        <f t="shared" si="45"/>
        <v>4.666666666666667</v>
      </c>
      <c r="AK28" s="41"/>
      <c r="AL28" s="7">
        <f t="shared" si="22"/>
        <v>0</v>
      </c>
      <c r="AM28" s="23">
        <f>IF(AK28="A",0,VLOOKUP(AL28,'Transmutation Table'!$A$2:$B$32,2))</f>
        <v>70</v>
      </c>
      <c r="AN28" s="7">
        <f t="shared" si="46"/>
        <v>4.666666666666667</v>
      </c>
      <c r="AO28" s="41"/>
      <c r="AP28" s="7">
        <f t="shared" si="24"/>
        <v>0</v>
      </c>
      <c r="AQ28" s="23">
        <f>IF(AO28="A",0,VLOOKUP(AP28,'Transmutation Table'!$A$2:$B$32,2))</f>
        <v>70</v>
      </c>
      <c r="AR28" s="7">
        <f t="shared" si="47"/>
        <v>4.666666666666667</v>
      </c>
      <c r="AS28" s="17">
        <f t="shared" si="1"/>
        <v>14</v>
      </c>
      <c r="AT28" s="7">
        <f t="shared" si="2"/>
        <v>0</v>
      </c>
      <c r="AU28" s="7">
        <f t="shared" si="3"/>
        <v>70</v>
      </c>
      <c r="AV28" s="25">
        <f t="shared" si="4"/>
        <v>26</v>
      </c>
      <c r="AW28" s="41"/>
      <c r="AX28" s="41"/>
      <c r="AY28" s="16">
        <f t="shared" si="48"/>
        <v>0</v>
      </c>
      <c r="AZ28" s="16">
        <f t="shared" si="26"/>
        <v>50</v>
      </c>
      <c r="BA28" s="7">
        <f t="shared" si="27"/>
        <v>2.5</v>
      </c>
      <c r="BB28" s="41"/>
      <c r="BC28" s="7">
        <f t="shared" si="28"/>
        <v>0</v>
      </c>
      <c r="BD28" s="23">
        <f>IF(BB28="A",0,VLOOKUP(BC28,'Transmutation Table'!$A$2:$B$32,2))</f>
        <v>70</v>
      </c>
      <c r="BE28" s="7">
        <f t="shared" si="49"/>
        <v>2.3333333333333335</v>
      </c>
      <c r="BF28" s="41"/>
      <c r="BG28" s="7">
        <f t="shared" si="50"/>
        <v>0</v>
      </c>
      <c r="BH28" s="23">
        <f>IF(BF28="A",0,VLOOKUP(BG28,'Transmutation Table'!$A$2:$B$32,2))</f>
        <v>70</v>
      </c>
      <c r="BI28" s="7">
        <f t="shared" si="51"/>
        <v>2.3333333333333335</v>
      </c>
      <c r="BJ28" s="41"/>
      <c r="BK28" s="7">
        <f>IFERROR(BJ28/#REF!*100,0)</f>
        <v>0</v>
      </c>
      <c r="BL28" s="23">
        <f>IF(BJ28="A",0,VLOOKUP(BK28,'Transmutation Table'!$A$2:$B$32,2))</f>
        <v>70</v>
      </c>
      <c r="BM28" s="7">
        <f t="shared" si="52"/>
        <v>2.3333333333333335</v>
      </c>
      <c r="BN28" s="7">
        <f t="shared" si="53"/>
        <v>7</v>
      </c>
      <c r="BO28" s="7">
        <f t="shared" si="34"/>
        <v>0</v>
      </c>
      <c r="BP28" s="7">
        <f t="shared" si="35"/>
        <v>50</v>
      </c>
      <c r="BQ28" s="13">
        <f t="shared" si="54"/>
        <v>9.5</v>
      </c>
      <c r="BR28" s="7">
        <f t="shared" si="5"/>
        <v>70.5</v>
      </c>
      <c r="BS28" s="23">
        <f>IFERROR(VLOOKUP(BR28,'Transmutation Table'!$B$2:$V$32,2),5)</f>
        <v>5</v>
      </c>
      <c r="BT28" s="19" t="str">
        <f t="shared" si="55"/>
        <v>FAILED</v>
      </c>
    </row>
    <row r="29" spans="1:74" ht="14.4" customHeight="1" x14ac:dyDescent="0.25">
      <c r="A29" s="8">
        <v>16</v>
      </c>
      <c r="B29" s="74" t="s">
        <v>81</v>
      </c>
      <c r="C29" s="75"/>
      <c r="D29" s="47"/>
      <c r="E29" s="14" t="str">
        <f t="shared" si="6"/>
        <v>/10</v>
      </c>
      <c r="F29" s="27">
        <f>IFERROR(VLOOKUP((D29/$F$12)*100,'Transmutation Table'!$A$2:$B$32,2),0)</f>
        <v>70</v>
      </c>
      <c r="G29" s="12">
        <f t="shared" si="7"/>
        <v>35</v>
      </c>
      <c r="H29" s="18"/>
      <c r="I29" s="18"/>
      <c r="J29" s="18"/>
      <c r="K29" s="18"/>
      <c r="L29" s="18"/>
      <c r="M29" s="18"/>
      <c r="N29" s="18"/>
      <c r="O29" s="17">
        <f t="shared" si="8"/>
        <v>0</v>
      </c>
      <c r="P29" s="17">
        <f t="shared" si="38"/>
        <v>0</v>
      </c>
      <c r="Q29" s="7">
        <f t="shared" si="39"/>
        <v>0</v>
      </c>
      <c r="R29" s="7">
        <f t="shared" si="40"/>
        <v>100</v>
      </c>
      <c r="S29" s="44">
        <f t="shared" si="41"/>
        <v>5</v>
      </c>
      <c r="T29" s="41"/>
      <c r="U29" s="7">
        <f t="shared" si="13"/>
        <v>0</v>
      </c>
      <c r="V29" s="23">
        <f>IF(T29="A",0,VLOOKUP(U29,'Transmutation Table'!$A$2:$B$32,2))</f>
        <v>70</v>
      </c>
      <c r="W29" s="7">
        <f t="shared" si="42"/>
        <v>2.3333333333333335</v>
      </c>
      <c r="X29" s="41"/>
      <c r="Y29" s="7">
        <f t="shared" si="43"/>
        <v>0</v>
      </c>
      <c r="Z29" s="23">
        <f>IF(X29="A",0,VLOOKUP(Y29,'Transmutation Table'!$A$2:$B$32,2))</f>
        <v>70</v>
      </c>
      <c r="AA29" s="7">
        <f t="shared" si="44"/>
        <v>2.3333333333333335</v>
      </c>
      <c r="AB29" s="41"/>
      <c r="AC29" s="7">
        <f t="shared" si="17"/>
        <v>0</v>
      </c>
      <c r="AD29" s="23">
        <f>IF(AB29="A",0,VLOOKUP(AC29,'Transmutation Table'!$A$2:$B$32,2))</f>
        <v>70</v>
      </c>
      <c r="AE29" s="7">
        <f t="shared" si="18"/>
        <v>2.3333333333333335</v>
      </c>
      <c r="AF29" s="17">
        <f t="shared" si="19"/>
        <v>7</v>
      </c>
      <c r="AG29" s="41"/>
      <c r="AH29" s="7">
        <f t="shared" si="20"/>
        <v>0</v>
      </c>
      <c r="AI29" s="23">
        <f>IF(AG29="A",0,VLOOKUP(AH29,'Transmutation Table'!$A$2:$B$32,2))</f>
        <v>70</v>
      </c>
      <c r="AJ29" s="7">
        <f t="shared" si="45"/>
        <v>4.666666666666667</v>
      </c>
      <c r="AK29" s="41"/>
      <c r="AL29" s="7">
        <f t="shared" si="22"/>
        <v>0</v>
      </c>
      <c r="AM29" s="23">
        <f>IF(AK29="A",0,VLOOKUP(AL29,'Transmutation Table'!$A$2:$B$32,2))</f>
        <v>70</v>
      </c>
      <c r="AN29" s="7">
        <f t="shared" si="46"/>
        <v>4.666666666666667</v>
      </c>
      <c r="AO29" s="41"/>
      <c r="AP29" s="7">
        <f t="shared" si="24"/>
        <v>0</v>
      </c>
      <c r="AQ29" s="23">
        <f>IF(AO29="A",0,VLOOKUP(AP29,'Transmutation Table'!$A$2:$B$32,2))</f>
        <v>70</v>
      </c>
      <c r="AR29" s="7">
        <f t="shared" si="47"/>
        <v>4.666666666666667</v>
      </c>
      <c r="AS29" s="17">
        <f t="shared" si="1"/>
        <v>14</v>
      </c>
      <c r="AT29" s="7">
        <f t="shared" si="2"/>
        <v>0</v>
      </c>
      <c r="AU29" s="7">
        <f t="shared" si="3"/>
        <v>70</v>
      </c>
      <c r="AV29" s="25">
        <f t="shared" si="4"/>
        <v>26</v>
      </c>
      <c r="AW29" s="41"/>
      <c r="AX29" s="41"/>
      <c r="AY29" s="16">
        <f t="shared" si="48"/>
        <v>0</v>
      </c>
      <c r="AZ29" s="16">
        <f t="shared" si="26"/>
        <v>50</v>
      </c>
      <c r="BA29" s="7">
        <f t="shared" si="27"/>
        <v>2.5</v>
      </c>
      <c r="BB29" s="41"/>
      <c r="BC29" s="7">
        <f t="shared" si="28"/>
        <v>0</v>
      </c>
      <c r="BD29" s="23">
        <f>IF(BB29="A",0,VLOOKUP(BC29,'Transmutation Table'!$A$2:$B$32,2))</f>
        <v>70</v>
      </c>
      <c r="BE29" s="7">
        <f t="shared" si="49"/>
        <v>2.3333333333333335</v>
      </c>
      <c r="BF29" s="41"/>
      <c r="BG29" s="7">
        <f t="shared" si="50"/>
        <v>0</v>
      </c>
      <c r="BH29" s="23">
        <f>IF(BF29="A",0,VLOOKUP(BG29,'Transmutation Table'!$A$2:$B$32,2))</f>
        <v>70</v>
      </c>
      <c r="BI29" s="7">
        <f t="shared" si="51"/>
        <v>2.3333333333333335</v>
      </c>
      <c r="BJ29" s="41"/>
      <c r="BK29" s="7">
        <f>IFERROR(BJ29/#REF!*100,0)</f>
        <v>0</v>
      </c>
      <c r="BL29" s="23">
        <f>IF(BJ29="A",0,VLOOKUP(BK29,'Transmutation Table'!$A$2:$B$32,2))</f>
        <v>70</v>
      </c>
      <c r="BM29" s="7">
        <f t="shared" si="52"/>
        <v>2.3333333333333335</v>
      </c>
      <c r="BN29" s="7">
        <f t="shared" si="53"/>
        <v>7</v>
      </c>
      <c r="BO29" s="7">
        <f t="shared" si="34"/>
        <v>0</v>
      </c>
      <c r="BP29" s="7">
        <f t="shared" si="35"/>
        <v>50</v>
      </c>
      <c r="BQ29" s="13">
        <f t="shared" si="54"/>
        <v>9.5</v>
      </c>
      <c r="BR29" s="7">
        <f t="shared" si="5"/>
        <v>70.5</v>
      </c>
      <c r="BS29" s="23">
        <f>IFERROR(VLOOKUP(BR29,'Transmutation Table'!$B$2:$V$32,2),5)</f>
        <v>5</v>
      </c>
      <c r="BT29" s="19" t="str">
        <f t="shared" si="55"/>
        <v>FAILED</v>
      </c>
    </row>
    <row r="30" spans="1:74" ht="14.4" customHeight="1" x14ac:dyDescent="0.25">
      <c r="A30" s="8">
        <v>17</v>
      </c>
      <c r="B30" s="74" t="s">
        <v>82</v>
      </c>
      <c r="C30" s="75"/>
      <c r="D30" s="47"/>
      <c r="E30" s="14" t="str">
        <f t="shared" si="6"/>
        <v>/10</v>
      </c>
      <c r="F30" s="27">
        <f>IFERROR(VLOOKUP((D30/$F$12)*100,'Transmutation Table'!$A$2:$B$32,2),0)</f>
        <v>70</v>
      </c>
      <c r="G30" s="12">
        <f t="shared" si="7"/>
        <v>35</v>
      </c>
      <c r="H30" s="18"/>
      <c r="I30" s="18"/>
      <c r="J30" s="18"/>
      <c r="K30" s="18"/>
      <c r="L30" s="18"/>
      <c r="M30" s="18"/>
      <c r="N30" s="18"/>
      <c r="O30" s="17">
        <f t="shared" si="8"/>
        <v>0</v>
      </c>
      <c r="P30" s="17">
        <f t="shared" si="38"/>
        <v>0</v>
      </c>
      <c r="Q30" s="7">
        <f t="shared" si="39"/>
        <v>0</v>
      </c>
      <c r="R30" s="7">
        <f t="shared" si="40"/>
        <v>100</v>
      </c>
      <c r="S30" s="44">
        <f t="shared" si="41"/>
        <v>5</v>
      </c>
      <c r="T30" s="41"/>
      <c r="U30" s="7">
        <f t="shared" si="13"/>
        <v>0</v>
      </c>
      <c r="V30" s="23">
        <f>IF(T30="A",0,VLOOKUP(U30,'Transmutation Table'!$A$2:$B$32,2))</f>
        <v>70</v>
      </c>
      <c r="W30" s="7">
        <f t="shared" si="42"/>
        <v>2.3333333333333335</v>
      </c>
      <c r="X30" s="41"/>
      <c r="Y30" s="7">
        <f t="shared" si="43"/>
        <v>0</v>
      </c>
      <c r="Z30" s="23">
        <f>IF(X30="A",0,VLOOKUP(Y30,'Transmutation Table'!$A$2:$B$32,2))</f>
        <v>70</v>
      </c>
      <c r="AA30" s="7">
        <f t="shared" si="44"/>
        <v>2.3333333333333335</v>
      </c>
      <c r="AB30" s="41"/>
      <c r="AC30" s="7">
        <f t="shared" si="17"/>
        <v>0</v>
      </c>
      <c r="AD30" s="23">
        <f>IF(AB30="A",0,VLOOKUP(AC30,'Transmutation Table'!$A$2:$B$32,2))</f>
        <v>70</v>
      </c>
      <c r="AE30" s="7">
        <f t="shared" si="18"/>
        <v>2.3333333333333335</v>
      </c>
      <c r="AF30" s="17">
        <f t="shared" si="19"/>
        <v>7</v>
      </c>
      <c r="AG30" s="41"/>
      <c r="AH30" s="7">
        <f t="shared" si="20"/>
        <v>0</v>
      </c>
      <c r="AI30" s="23">
        <f>IF(AG30="A",0,VLOOKUP(AH30,'Transmutation Table'!$A$2:$B$32,2))</f>
        <v>70</v>
      </c>
      <c r="AJ30" s="7">
        <f t="shared" si="45"/>
        <v>4.666666666666667</v>
      </c>
      <c r="AK30" s="41"/>
      <c r="AL30" s="7">
        <f t="shared" si="22"/>
        <v>0</v>
      </c>
      <c r="AM30" s="23">
        <f>IF(AK30="A",0,VLOOKUP(AL30,'Transmutation Table'!$A$2:$B$32,2))</f>
        <v>70</v>
      </c>
      <c r="AN30" s="7">
        <f t="shared" si="46"/>
        <v>4.666666666666667</v>
      </c>
      <c r="AO30" s="41"/>
      <c r="AP30" s="7">
        <f t="shared" si="24"/>
        <v>0</v>
      </c>
      <c r="AQ30" s="23">
        <f>IF(AO30="A",0,VLOOKUP(AP30,'Transmutation Table'!$A$2:$B$32,2))</f>
        <v>70</v>
      </c>
      <c r="AR30" s="7">
        <f t="shared" si="47"/>
        <v>4.666666666666667</v>
      </c>
      <c r="AS30" s="17">
        <f t="shared" si="1"/>
        <v>14</v>
      </c>
      <c r="AT30" s="7">
        <f t="shared" si="2"/>
        <v>0</v>
      </c>
      <c r="AU30" s="7">
        <f t="shared" si="3"/>
        <v>70</v>
      </c>
      <c r="AV30" s="25">
        <f t="shared" si="4"/>
        <v>26</v>
      </c>
      <c r="AW30" s="41"/>
      <c r="AX30" s="41"/>
      <c r="AY30" s="16">
        <f t="shared" si="48"/>
        <v>0</v>
      </c>
      <c r="AZ30" s="16">
        <f t="shared" si="26"/>
        <v>50</v>
      </c>
      <c r="BA30" s="7">
        <f t="shared" si="27"/>
        <v>2.5</v>
      </c>
      <c r="BB30" s="41"/>
      <c r="BC30" s="7">
        <f t="shared" si="28"/>
        <v>0</v>
      </c>
      <c r="BD30" s="23">
        <f>IF(BB30="A",0,VLOOKUP(BC30,'Transmutation Table'!$A$2:$B$32,2))</f>
        <v>70</v>
      </c>
      <c r="BE30" s="7">
        <f t="shared" si="49"/>
        <v>2.3333333333333335</v>
      </c>
      <c r="BF30" s="41"/>
      <c r="BG30" s="7">
        <f t="shared" si="50"/>
        <v>0</v>
      </c>
      <c r="BH30" s="23">
        <f>IF(BF30="A",0,VLOOKUP(BG30,'Transmutation Table'!$A$2:$B$32,2))</f>
        <v>70</v>
      </c>
      <c r="BI30" s="7">
        <f t="shared" si="51"/>
        <v>2.3333333333333335</v>
      </c>
      <c r="BJ30" s="41"/>
      <c r="BK30" s="7">
        <f>IFERROR(BJ30/#REF!*100,0)</f>
        <v>0</v>
      </c>
      <c r="BL30" s="23">
        <f>IF(BJ30="A",0,VLOOKUP(BK30,'Transmutation Table'!$A$2:$B$32,2))</f>
        <v>70</v>
      </c>
      <c r="BM30" s="7">
        <f t="shared" si="52"/>
        <v>2.3333333333333335</v>
      </c>
      <c r="BN30" s="7">
        <f t="shared" si="53"/>
        <v>7</v>
      </c>
      <c r="BO30" s="7">
        <f t="shared" si="34"/>
        <v>0</v>
      </c>
      <c r="BP30" s="7">
        <f t="shared" si="35"/>
        <v>50</v>
      </c>
      <c r="BQ30" s="13">
        <f t="shared" si="54"/>
        <v>9.5</v>
      </c>
      <c r="BR30" s="7">
        <f t="shared" si="5"/>
        <v>70.5</v>
      </c>
      <c r="BS30" s="23">
        <f>IFERROR(VLOOKUP(BR30,'Transmutation Table'!$B$2:$V$32,2),5)</f>
        <v>5</v>
      </c>
      <c r="BT30" s="19" t="str">
        <f t="shared" si="55"/>
        <v>FAILED</v>
      </c>
    </row>
    <row r="31" spans="1:74" ht="14.4" customHeight="1" x14ac:dyDescent="0.25">
      <c r="A31" s="8">
        <v>18</v>
      </c>
      <c r="B31" s="74" t="s">
        <v>83</v>
      </c>
      <c r="C31" s="75"/>
      <c r="D31" s="47"/>
      <c r="E31" s="14" t="str">
        <f t="shared" si="6"/>
        <v>/10</v>
      </c>
      <c r="F31" s="27">
        <f>IFERROR(VLOOKUP((D31/$F$12)*100,'Transmutation Table'!$A$2:$B$32,2),0)</f>
        <v>70</v>
      </c>
      <c r="G31" s="12">
        <f t="shared" si="7"/>
        <v>35</v>
      </c>
      <c r="H31" s="18"/>
      <c r="I31" s="18"/>
      <c r="J31" s="18"/>
      <c r="K31" s="18"/>
      <c r="L31" s="18"/>
      <c r="M31" s="18"/>
      <c r="N31" s="18"/>
      <c r="O31" s="17">
        <f t="shared" si="8"/>
        <v>0</v>
      </c>
      <c r="P31" s="17">
        <f t="shared" si="38"/>
        <v>0</v>
      </c>
      <c r="Q31" s="7">
        <f t="shared" si="39"/>
        <v>0</v>
      </c>
      <c r="R31" s="7">
        <f t="shared" si="40"/>
        <v>100</v>
      </c>
      <c r="S31" s="44">
        <f t="shared" si="41"/>
        <v>5</v>
      </c>
      <c r="T31" s="41"/>
      <c r="U31" s="7">
        <f t="shared" si="13"/>
        <v>0</v>
      </c>
      <c r="V31" s="23">
        <f>IF(T31="A",0,VLOOKUP(U31,'Transmutation Table'!$A$2:$B$32,2))</f>
        <v>70</v>
      </c>
      <c r="W31" s="7">
        <f t="shared" si="42"/>
        <v>2.3333333333333335</v>
      </c>
      <c r="X31" s="41"/>
      <c r="Y31" s="7">
        <f t="shared" si="43"/>
        <v>0</v>
      </c>
      <c r="Z31" s="23">
        <f>IF(X31="A",0,VLOOKUP(Y31,'Transmutation Table'!$A$2:$B$32,2))</f>
        <v>70</v>
      </c>
      <c r="AA31" s="7">
        <f t="shared" si="44"/>
        <v>2.3333333333333335</v>
      </c>
      <c r="AB31" s="41"/>
      <c r="AC31" s="7">
        <f t="shared" si="17"/>
        <v>0</v>
      </c>
      <c r="AD31" s="23">
        <f>IF(AB31="A",0,VLOOKUP(AC31,'Transmutation Table'!$A$2:$B$32,2))</f>
        <v>70</v>
      </c>
      <c r="AE31" s="7">
        <f t="shared" si="18"/>
        <v>2.3333333333333335</v>
      </c>
      <c r="AF31" s="17">
        <f t="shared" si="19"/>
        <v>7</v>
      </c>
      <c r="AG31" s="41"/>
      <c r="AH31" s="7">
        <f t="shared" si="20"/>
        <v>0</v>
      </c>
      <c r="AI31" s="23">
        <f>IF(AG31="A",0,VLOOKUP(AH31,'Transmutation Table'!$A$2:$B$32,2))</f>
        <v>70</v>
      </c>
      <c r="AJ31" s="7">
        <f t="shared" si="45"/>
        <v>4.666666666666667</v>
      </c>
      <c r="AK31" s="41"/>
      <c r="AL31" s="7">
        <f t="shared" si="22"/>
        <v>0</v>
      </c>
      <c r="AM31" s="23">
        <f>IF(AK31="A",0,VLOOKUP(AL31,'Transmutation Table'!$A$2:$B$32,2))</f>
        <v>70</v>
      </c>
      <c r="AN31" s="7">
        <f t="shared" si="46"/>
        <v>4.666666666666667</v>
      </c>
      <c r="AO31" s="41"/>
      <c r="AP31" s="7">
        <f t="shared" si="24"/>
        <v>0</v>
      </c>
      <c r="AQ31" s="23">
        <f>IF(AO31="A",0,VLOOKUP(AP31,'Transmutation Table'!$A$2:$B$32,2))</f>
        <v>70</v>
      </c>
      <c r="AR31" s="7">
        <f t="shared" si="47"/>
        <v>4.666666666666667</v>
      </c>
      <c r="AS31" s="17">
        <f t="shared" si="1"/>
        <v>14</v>
      </c>
      <c r="AT31" s="7">
        <f t="shared" si="2"/>
        <v>0</v>
      </c>
      <c r="AU31" s="7">
        <f t="shared" si="3"/>
        <v>70</v>
      </c>
      <c r="AV31" s="25">
        <f t="shared" si="4"/>
        <v>26</v>
      </c>
      <c r="AW31" s="41"/>
      <c r="AX31" s="41"/>
      <c r="AY31" s="16">
        <f t="shared" si="48"/>
        <v>0</v>
      </c>
      <c r="AZ31" s="16">
        <f t="shared" si="26"/>
        <v>50</v>
      </c>
      <c r="BA31" s="7">
        <f t="shared" si="27"/>
        <v>2.5</v>
      </c>
      <c r="BB31" s="41"/>
      <c r="BC31" s="7">
        <f t="shared" si="28"/>
        <v>0</v>
      </c>
      <c r="BD31" s="23">
        <f>IF(BB31="A",0,VLOOKUP(BC31,'Transmutation Table'!$A$2:$B$32,2))</f>
        <v>70</v>
      </c>
      <c r="BE31" s="7">
        <f t="shared" si="49"/>
        <v>2.3333333333333335</v>
      </c>
      <c r="BF31" s="41"/>
      <c r="BG31" s="7">
        <f t="shared" si="50"/>
        <v>0</v>
      </c>
      <c r="BH31" s="23">
        <f>IF(BF31="A",0,VLOOKUP(BG31,'Transmutation Table'!$A$2:$B$32,2))</f>
        <v>70</v>
      </c>
      <c r="BI31" s="7">
        <f t="shared" si="51"/>
        <v>2.3333333333333335</v>
      </c>
      <c r="BJ31" s="41"/>
      <c r="BK31" s="7">
        <f>IFERROR(BJ31/#REF!*100,0)</f>
        <v>0</v>
      </c>
      <c r="BL31" s="23">
        <f>IF(BJ31="A",0,VLOOKUP(BK31,'Transmutation Table'!$A$2:$B$32,2))</f>
        <v>70</v>
      </c>
      <c r="BM31" s="7">
        <f t="shared" si="52"/>
        <v>2.3333333333333335</v>
      </c>
      <c r="BN31" s="7">
        <f t="shared" si="53"/>
        <v>7</v>
      </c>
      <c r="BO31" s="7">
        <f t="shared" si="34"/>
        <v>0</v>
      </c>
      <c r="BP31" s="7">
        <f t="shared" si="35"/>
        <v>50</v>
      </c>
      <c r="BQ31" s="13">
        <f t="shared" si="54"/>
        <v>9.5</v>
      </c>
      <c r="BR31" s="7">
        <f t="shared" si="5"/>
        <v>70.5</v>
      </c>
      <c r="BS31" s="23">
        <f>IFERROR(VLOOKUP(BR31,'Transmutation Table'!$B$2:$V$32,2),5)</f>
        <v>5</v>
      </c>
      <c r="BT31" s="19" t="str">
        <f t="shared" si="55"/>
        <v>FAILED</v>
      </c>
    </row>
    <row r="32" spans="1:74" ht="14.4" customHeight="1" x14ac:dyDescent="0.25">
      <c r="A32" s="8">
        <v>19</v>
      </c>
      <c r="B32" s="74" t="s">
        <v>84</v>
      </c>
      <c r="C32" s="75"/>
      <c r="D32" s="47"/>
      <c r="E32" s="14" t="str">
        <f t="shared" si="6"/>
        <v>/10</v>
      </c>
      <c r="F32" s="27">
        <f>IFERROR(VLOOKUP((D32/$F$12)*100,'Transmutation Table'!$A$2:$B$32,2),0)</f>
        <v>70</v>
      </c>
      <c r="G32" s="12">
        <f t="shared" si="7"/>
        <v>35</v>
      </c>
      <c r="H32" s="18"/>
      <c r="I32" s="18"/>
      <c r="J32" s="18"/>
      <c r="K32" s="18"/>
      <c r="L32" s="18"/>
      <c r="M32" s="18"/>
      <c r="N32" s="18"/>
      <c r="O32" s="17">
        <f t="shared" si="8"/>
        <v>0</v>
      </c>
      <c r="P32" s="17">
        <f t="shared" si="38"/>
        <v>0</v>
      </c>
      <c r="Q32" s="7">
        <f t="shared" si="39"/>
        <v>0</v>
      </c>
      <c r="R32" s="7">
        <f t="shared" si="40"/>
        <v>100</v>
      </c>
      <c r="S32" s="44">
        <f t="shared" si="41"/>
        <v>5</v>
      </c>
      <c r="T32" s="41"/>
      <c r="U32" s="7">
        <f t="shared" si="13"/>
        <v>0</v>
      </c>
      <c r="V32" s="23">
        <f>IF(T32="A",0,VLOOKUP(U32,'Transmutation Table'!$A$2:$B$32,2))</f>
        <v>70</v>
      </c>
      <c r="W32" s="7">
        <f t="shared" si="42"/>
        <v>2.3333333333333335</v>
      </c>
      <c r="X32" s="41"/>
      <c r="Y32" s="7">
        <f t="shared" si="43"/>
        <v>0</v>
      </c>
      <c r="Z32" s="23">
        <f>IF(X32="A",0,VLOOKUP(Y32,'Transmutation Table'!$A$2:$B$32,2))</f>
        <v>70</v>
      </c>
      <c r="AA32" s="7">
        <f t="shared" si="44"/>
        <v>2.3333333333333335</v>
      </c>
      <c r="AB32" s="41"/>
      <c r="AC32" s="7">
        <f t="shared" si="17"/>
        <v>0</v>
      </c>
      <c r="AD32" s="23">
        <f>IF(AB32="A",0,VLOOKUP(AC32,'Transmutation Table'!$A$2:$B$32,2))</f>
        <v>70</v>
      </c>
      <c r="AE32" s="7">
        <f t="shared" si="18"/>
        <v>2.3333333333333335</v>
      </c>
      <c r="AF32" s="17">
        <f t="shared" si="19"/>
        <v>7</v>
      </c>
      <c r="AG32" s="41"/>
      <c r="AH32" s="7">
        <f t="shared" si="20"/>
        <v>0</v>
      </c>
      <c r="AI32" s="23">
        <f>IF(AG32="A",0,VLOOKUP(AH32,'Transmutation Table'!$A$2:$B$32,2))</f>
        <v>70</v>
      </c>
      <c r="AJ32" s="7">
        <f t="shared" si="45"/>
        <v>4.666666666666667</v>
      </c>
      <c r="AK32" s="41"/>
      <c r="AL32" s="7">
        <f t="shared" si="22"/>
        <v>0</v>
      </c>
      <c r="AM32" s="23">
        <f>IF(AK32="A",0,VLOOKUP(AL32,'Transmutation Table'!$A$2:$B$32,2))</f>
        <v>70</v>
      </c>
      <c r="AN32" s="7">
        <f t="shared" si="46"/>
        <v>4.666666666666667</v>
      </c>
      <c r="AO32" s="41"/>
      <c r="AP32" s="7">
        <f t="shared" si="24"/>
        <v>0</v>
      </c>
      <c r="AQ32" s="23">
        <f>IF(AO32="A",0,VLOOKUP(AP32,'Transmutation Table'!$A$2:$B$32,2))</f>
        <v>70</v>
      </c>
      <c r="AR32" s="7">
        <f t="shared" si="47"/>
        <v>4.666666666666667</v>
      </c>
      <c r="AS32" s="17">
        <f t="shared" si="1"/>
        <v>14</v>
      </c>
      <c r="AT32" s="7">
        <f t="shared" si="2"/>
        <v>0</v>
      </c>
      <c r="AU32" s="7">
        <f t="shared" si="3"/>
        <v>70</v>
      </c>
      <c r="AV32" s="25">
        <f t="shared" si="4"/>
        <v>26</v>
      </c>
      <c r="AW32" s="41"/>
      <c r="AX32" s="41"/>
      <c r="AY32" s="16">
        <f t="shared" si="48"/>
        <v>0</v>
      </c>
      <c r="AZ32" s="16">
        <f t="shared" si="26"/>
        <v>50</v>
      </c>
      <c r="BA32" s="7">
        <f t="shared" si="27"/>
        <v>2.5</v>
      </c>
      <c r="BB32" s="41"/>
      <c r="BC32" s="7">
        <f t="shared" si="28"/>
        <v>0</v>
      </c>
      <c r="BD32" s="23">
        <f>IF(BB32="A",0,VLOOKUP(BC32,'Transmutation Table'!$A$2:$B$32,2))</f>
        <v>70</v>
      </c>
      <c r="BE32" s="7">
        <f t="shared" si="49"/>
        <v>2.3333333333333335</v>
      </c>
      <c r="BF32" s="41"/>
      <c r="BG32" s="7">
        <f t="shared" si="50"/>
        <v>0</v>
      </c>
      <c r="BH32" s="23">
        <f>IF(BF32="A",0,VLOOKUP(BG32,'Transmutation Table'!$A$2:$B$32,2))</f>
        <v>70</v>
      </c>
      <c r="BI32" s="7">
        <f t="shared" si="51"/>
        <v>2.3333333333333335</v>
      </c>
      <c r="BJ32" s="41"/>
      <c r="BK32" s="7">
        <f>IFERROR(BJ32/#REF!*100,0)</f>
        <v>0</v>
      </c>
      <c r="BL32" s="23">
        <f>IF(BJ32="A",0,VLOOKUP(BK32,'Transmutation Table'!$A$2:$B$32,2))</f>
        <v>70</v>
      </c>
      <c r="BM32" s="7">
        <f t="shared" si="52"/>
        <v>2.3333333333333335</v>
      </c>
      <c r="BN32" s="7">
        <f t="shared" si="53"/>
        <v>7</v>
      </c>
      <c r="BO32" s="7">
        <f t="shared" si="34"/>
        <v>0</v>
      </c>
      <c r="BP32" s="7">
        <f t="shared" si="35"/>
        <v>50</v>
      </c>
      <c r="BQ32" s="13">
        <f t="shared" si="54"/>
        <v>9.5</v>
      </c>
      <c r="BR32" s="7">
        <f t="shared" si="5"/>
        <v>70.5</v>
      </c>
      <c r="BS32" s="23">
        <f>IFERROR(VLOOKUP(BR32,'Transmutation Table'!$B$2:$V$32,2),5)</f>
        <v>5</v>
      </c>
      <c r="BT32" s="19" t="str">
        <f t="shared" si="55"/>
        <v>FAILED</v>
      </c>
    </row>
    <row r="33" spans="1:74" ht="14.4" customHeight="1" x14ac:dyDescent="0.25">
      <c r="A33" s="8">
        <v>20</v>
      </c>
      <c r="B33" s="74" t="s">
        <v>85</v>
      </c>
      <c r="C33" s="75"/>
      <c r="D33" s="47"/>
      <c r="E33" s="14" t="str">
        <f t="shared" si="6"/>
        <v>/10</v>
      </c>
      <c r="F33" s="27">
        <f>IFERROR(VLOOKUP((D33/$F$12)*100,'Transmutation Table'!$A$2:$B$32,2),0)</f>
        <v>70</v>
      </c>
      <c r="G33" s="12">
        <f t="shared" si="7"/>
        <v>35</v>
      </c>
      <c r="H33" s="18"/>
      <c r="I33" s="18"/>
      <c r="J33" s="18"/>
      <c r="K33" s="18"/>
      <c r="L33" s="18"/>
      <c r="M33" s="18"/>
      <c r="N33" s="18"/>
      <c r="O33" s="17">
        <f t="shared" si="8"/>
        <v>0</v>
      </c>
      <c r="P33" s="17">
        <f t="shared" si="38"/>
        <v>0</v>
      </c>
      <c r="Q33" s="7">
        <f t="shared" si="39"/>
        <v>0</v>
      </c>
      <c r="R33" s="7">
        <f t="shared" si="40"/>
        <v>100</v>
      </c>
      <c r="S33" s="44">
        <f t="shared" si="41"/>
        <v>5</v>
      </c>
      <c r="T33" s="41"/>
      <c r="U33" s="7">
        <f t="shared" si="13"/>
        <v>0</v>
      </c>
      <c r="V33" s="23">
        <f>IF(T33="A",0,VLOOKUP(U33,'Transmutation Table'!$A$2:$B$32,2))</f>
        <v>70</v>
      </c>
      <c r="W33" s="7">
        <f t="shared" si="42"/>
        <v>2.3333333333333335</v>
      </c>
      <c r="X33" s="41"/>
      <c r="Y33" s="7">
        <f t="shared" si="43"/>
        <v>0</v>
      </c>
      <c r="Z33" s="23">
        <f>IF(X33="A",0,VLOOKUP(Y33,'Transmutation Table'!$A$2:$B$32,2))</f>
        <v>70</v>
      </c>
      <c r="AA33" s="7">
        <f t="shared" si="44"/>
        <v>2.3333333333333335</v>
      </c>
      <c r="AB33" s="41"/>
      <c r="AC33" s="7">
        <f t="shared" si="17"/>
        <v>0</v>
      </c>
      <c r="AD33" s="23">
        <f>IF(AB33="A",0,VLOOKUP(AC33,'Transmutation Table'!$A$2:$B$32,2))</f>
        <v>70</v>
      </c>
      <c r="AE33" s="7">
        <f t="shared" si="18"/>
        <v>2.3333333333333335</v>
      </c>
      <c r="AF33" s="17">
        <f t="shared" si="19"/>
        <v>7</v>
      </c>
      <c r="AG33" s="41"/>
      <c r="AH33" s="7">
        <f t="shared" si="20"/>
        <v>0</v>
      </c>
      <c r="AI33" s="23">
        <f>IF(AG33="A",0,VLOOKUP(AH33,'Transmutation Table'!$A$2:$B$32,2))</f>
        <v>70</v>
      </c>
      <c r="AJ33" s="7">
        <f t="shared" si="45"/>
        <v>4.666666666666667</v>
      </c>
      <c r="AK33" s="41"/>
      <c r="AL33" s="7">
        <f t="shared" si="22"/>
        <v>0</v>
      </c>
      <c r="AM33" s="23">
        <f>IF(AK33="A",0,VLOOKUP(AL33,'Transmutation Table'!$A$2:$B$32,2))</f>
        <v>70</v>
      </c>
      <c r="AN33" s="7">
        <f t="shared" si="46"/>
        <v>4.666666666666667</v>
      </c>
      <c r="AO33" s="41"/>
      <c r="AP33" s="7">
        <f t="shared" si="24"/>
        <v>0</v>
      </c>
      <c r="AQ33" s="23">
        <f>IF(AO33="A",0,VLOOKUP(AP33,'Transmutation Table'!$A$2:$B$32,2))</f>
        <v>70</v>
      </c>
      <c r="AR33" s="7">
        <f t="shared" si="47"/>
        <v>4.666666666666667</v>
      </c>
      <c r="AS33" s="17">
        <f t="shared" si="1"/>
        <v>14</v>
      </c>
      <c r="AT33" s="7">
        <f t="shared" si="2"/>
        <v>0</v>
      </c>
      <c r="AU33" s="7">
        <f t="shared" si="3"/>
        <v>70</v>
      </c>
      <c r="AV33" s="25">
        <f t="shared" si="4"/>
        <v>26</v>
      </c>
      <c r="AW33" s="41"/>
      <c r="AX33" s="41"/>
      <c r="AY33" s="16">
        <f t="shared" si="48"/>
        <v>0</v>
      </c>
      <c r="AZ33" s="16">
        <f t="shared" si="26"/>
        <v>50</v>
      </c>
      <c r="BA33" s="7">
        <f t="shared" si="27"/>
        <v>2.5</v>
      </c>
      <c r="BB33" s="41"/>
      <c r="BC33" s="7">
        <f t="shared" si="28"/>
        <v>0</v>
      </c>
      <c r="BD33" s="23">
        <f>IF(BB33="A",0,VLOOKUP(BC33,'Transmutation Table'!$A$2:$B$32,2))</f>
        <v>70</v>
      </c>
      <c r="BE33" s="7">
        <f t="shared" si="49"/>
        <v>2.3333333333333335</v>
      </c>
      <c r="BF33" s="41"/>
      <c r="BG33" s="7">
        <f t="shared" si="50"/>
        <v>0</v>
      </c>
      <c r="BH33" s="23">
        <f>IF(BF33="A",0,VLOOKUP(BG33,'Transmutation Table'!$A$2:$B$32,2))</f>
        <v>70</v>
      </c>
      <c r="BI33" s="7">
        <f t="shared" si="51"/>
        <v>2.3333333333333335</v>
      </c>
      <c r="BJ33" s="41"/>
      <c r="BK33" s="7">
        <f>IFERROR(BJ33/#REF!*100,0)</f>
        <v>0</v>
      </c>
      <c r="BL33" s="23">
        <f>IF(BJ33="A",0,VLOOKUP(BK33,'Transmutation Table'!$A$2:$B$32,2))</f>
        <v>70</v>
      </c>
      <c r="BM33" s="7">
        <f t="shared" si="52"/>
        <v>2.3333333333333335</v>
      </c>
      <c r="BN33" s="7">
        <f t="shared" si="53"/>
        <v>7</v>
      </c>
      <c r="BO33" s="7">
        <f t="shared" si="34"/>
        <v>0</v>
      </c>
      <c r="BP33" s="7">
        <f t="shared" si="35"/>
        <v>50</v>
      </c>
      <c r="BQ33" s="13">
        <f t="shared" si="54"/>
        <v>9.5</v>
      </c>
      <c r="BR33" s="7">
        <f t="shared" si="5"/>
        <v>70.5</v>
      </c>
      <c r="BS33" s="23">
        <f>IFERROR(VLOOKUP(BR33,'Transmutation Table'!$B$2:$V$32,2),5)</f>
        <v>5</v>
      </c>
      <c r="BT33" s="19" t="str">
        <f t="shared" si="55"/>
        <v>FAILED</v>
      </c>
    </row>
    <row r="34" spans="1:74" ht="14.4" customHeight="1" x14ac:dyDescent="0.25">
      <c r="A34" s="8">
        <v>21</v>
      </c>
      <c r="B34" s="74" t="s">
        <v>86</v>
      </c>
      <c r="C34" s="75"/>
      <c r="D34" s="47"/>
      <c r="E34" s="14" t="str">
        <f t="shared" si="6"/>
        <v>/10</v>
      </c>
      <c r="F34" s="27">
        <f>IFERROR(VLOOKUP((D34/$F$12)*100,'Transmutation Table'!$A$2:$B$32,2),0)</f>
        <v>70</v>
      </c>
      <c r="G34" s="12">
        <f t="shared" si="7"/>
        <v>35</v>
      </c>
      <c r="H34" s="18"/>
      <c r="I34" s="18"/>
      <c r="J34" s="18"/>
      <c r="K34" s="18"/>
      <c r="L34" s="18"/>
      <c r="M34" s="18"/>
      <c r="N34" s="18"/>
      <c r="O34" s="17">
        <f t="shared" si="8"/>
        <v>0</v>
      </c>
      <c r="P34" s="17">
        <f t="shared" si="38"/>
        <v>0</v>
      </c>
      <c r="Q34" s="7">
        <f t="shared" si="39"/>
        <v>0</v>
      </c>
      <c r="R34" s="7">
        <f t="shared" si="40"/>
        <v>100</v>
      </c>
      <c r="S34" s="44">
        <f t="shared" si="41"/>
        <v>5</v>
      </c>
      <c r="T34" s="41"/>
      <c r="U34" s="7">
        <f t="shared" si="13"/>
        <v>0</v>
      </c>
      <c r="V34" s="23">
        <f>IF(T34="A",0,VLOOKUP(U34,'Transmutation Table'!$A$2:$B$32,2))</f>
        <v>70</v>
      </c>
      <c r="W34" s="7">
        <f t="shared" si="42"/>
        <v>2.3333333333333335</v>
      </c>
      <c r="X34" s="41"/>
      <c r="Y34" s="7">
        <f t="shared" si="43"/>
        <v>0</v>
      </c>
      <c r="Z34" s="23">
        <f>IF(X34="A",0,VLOOKUP(Y34,'Transmutation Table'!$A$2:$B$32,2))</f>
        <v>70</v>
      </c>
      <c r="AA34" s="7">
        <f t="shared" si="44"/>
        <v>2.3333333333333335</v>
      </c>
      <c r="AB34" s="41"/>
      <c r="AC34" s="7">
        <f t="shared" si="17"/>
        <v>0</v>
      </c>
      <c r="AD34" s="23">
        <f>IF(AB34="A",0,VLOOKUP(AC34,'Transmutation Table'!$A$2:$B$32,2))</f>
        <v>70</v>
      </c>
      <c r="AE34" s="7">
        <f t="shared" si="18"/>
        <v>2.3333333333333335</v>
      </c>
      <c r="AF34" s="17">
        <f t="shared" si="19"/>
        <v>7</v>
      </c>
      <c r="AG34" s="41"/>
      <c r="AH34" s="7">
        <f t="shared" si="20"/>
        <v>0</v>
      </c>
      <c r="AI34" s="23">
        <f>IF(AG34="A",0,VLOOKUP(AH34,'Transmutation Table'!$A$2:$B$32,2))</f>
        <v>70</v>
      </c>
      <c r="AJ34" s="7">
        <f t="shared" si="45"/>
        <v>4.666666666666667</v>
      </c>
      <c r="AK34" s="41"/>
      <c r="AL34" s="7">
        <f t="shared" si="22"/>
        <v>0</v>
      </c>
      <c r="AM34" s="23">
        <f>IF(AK34="A",0,VLOOKUP(AL34,'Transmutation Table'!$A$2:$B$32,2))</f>
        <v>70</v>
      </c>
      <c r="AN34" s="7">
        <f t="shared" si="46"/>
        <v>4.666666666666667</v>
      </c>
      <c r="AO34" s="41"/>
      <c r="AP34" s="7">
        <f t="shared" si="24"/>
        <v>0</v>
      </c>
      <c r="AQ34" s="23">
        <f>IF(AO34="A",0,VLOOKUP(AP34,'Transmutation Table'!$A$2:$B$32,2))</f>
        <v>70</v>
      </c>
      <c r="AR34" s="7">
        <f t="shared" si="47"/>
        <v>4.666666666666667</v>
      </c>
      <c r="AS34" s="17">
        <f t="shared" si="1"/>
        <v>14</v>
      </c>
      <c r="AT34" s="7">
        <f t="shared" si="2"/>
        <v>0</v>
      </c>
      <c r="AU34" s="7">
        <f t="shared" si="3"/>
        <v>70</v>
      </c>
      <c r="AV34" s="25">
        <f t="shared" si="4"/>
        <v>26</v>
      </c>
      <c r="AW34" s="41"/>
      <c r="AX34" s="41"/>
      <c r="AY34" s="16">
        <f t="shared" si="48"/>
        <v>0</v>
      </c>
      <c r="AZ34" s="16">
        <f t="shared" si="26"/>
        <v>50</v>
      </c>
      <c r="BA34" s="7">
        <f t="shared" si="27"/>
        <v>2.5</v>
      </c>
      <c r="BB34" s="41"/>
      <c r="BC34" s="7">
        <f t="shared" si="28"/>
        <v>0</v>
      </c>
      <c r="BD34" s="23">
        <f>IF(BB34="A",0,VLOOKUP(BC34,'Transmutation Table'!$A$2:$B$32,2))</f>
        <v>70</v>
      </c>
      <c r="BE34" s="7">
        <f t="shared" si="49"/>
        <v>2.3333333333333335</v>
      </c>
      <c r="BF34" s="41"/>
      <c r="BG34" s="7">
        <f t="shared" si="50"/>
        <v>0</v>
      </c>
      <c r="BH34" s="23">
        <f>IF(BF34="A",0,VLOOKUP(BG34,'Transmutation Table'!$A$2:$B$32,2))</f>
        <v>70</v>
      </c>
      <c r="BI34" s="7">
        <f t="shared" si="51"/>
        <v>2.3333333333333335</v>
      </c>
      <c r="BJ34" s="41"/>
      <c r="BK34" s="7">
        <f>IFERROR(BJ34/#REF!*100,0)</f>
        <v>0</v>
      </c>
      <c r="BL34" s="23">
        <f>IF(BJ34="A",0,VLOOKUP(BK34,'Transmutation Table'!$A$2:$B$32,2))</f>
        <v>70</v>
      </c>
      <c r="BM34" s="7">
        <f t="shared" si="52"/>
        <v>2.3333333333333335</v>
      </c>
      <c r="BN34" s="7">
        <f t="shared" si="53"/>
        <v>7</v>
      </c>
      <c r="BO34" s="7">
        <f t="shared" si="34"/>
        <v>0</v>
      </c>
      <c r="BP34" s="7">
        <f t="shared" si="35"/>
        <v>50</v>
      </c>
      <c r="BQ34" s="13">
        <f t="shared" si="54"/>
        <v>9.5</v>
      </c>
      <c r="BR34" s="7">
        <f t="shared" si="5"/>
        <v>70.5</v>
      </c>
      <c r="BS34" s="23">
        <f>IFERROR(VLOOKUP(BR34,'Transmutation Table'!$B$2:$V$32,2),5)</f>
        <v>5</v>
      </c>
      <c r="BT34" s="19" t="str">
        <f t="shared" si="55"/>
        <v>FAILED</v>
      </c>
    </row>
    <row r="35" spans="1:74" ht="14.4" customHeight="1" x14ac:dyDescent="0.25">
      <c r="A35" s="8">
        <v>22</v>
      </c>
      <c r="B35" s="74" t="s">
        <v>87</v>
      </c>
      <c r="C35" s="75"/>
      <c r="D35" s="47"/>
      <c r="E35" s="14" t="str">
        <f t="shared" si="6"/>
        <v>/10</v>
      </c>
      <c r="F35" s="27">
        <f>IFERROR(VLOOKUP((D35/$F$12)*100,'Transmutation Table'!$A$2:$B$32,2),0)</f>
        <v>70</v>
      </c>
      <c r="G35" s="12">
        <f t="shared" si="7"/>
        <v>35</v>
      </c>
      <c r="H35" s="18"/>
      <c r="I35" s="18"/>
      <c r="J35" s="18"/>
      <c r="K35" s="18"/>
      <c r="L35" s="18"/>
      <c r="M35" s="18"/>
      <c r="N35" s="18"/>
      <c r="O35" s="17">
        <f t="shared" si="8"/>
        <v>0</v>
      </c>
      <c r="P35" s="17">
        <f t="shared" si="38"/>
        <v>0</v>
      </c>
      <c r="Q35" s="7">
        <f t="shared" si="39"/>
        <v>0</v>
      </c>
      <c r="R35" s="7">
        <f t="shared" si="40"/>
        <v>100</v>
      </c>
      <c r="S35" s="44">
        <f t="shared" si="41"/>
        <v>5</v>
      </c>
      <c r="T35" s="41"/>
      <c r="U35" s="7">
        <f t="shared" si="13"/>
        <v>0</v>
      </c>
      <c r="V35" s="23">
        <f>IF(T35="A",0,VLOOKUP(U35,'Transmutation Table'!$A$2:$B$32,2))</f>
        <v>70</v>
      </c>
      <c r="W35" s="7">
        <f t="shared" si="42"/>
        <v>2.3333333333333335</v>
      </c>
      <c r="X35" s="41"/>
      <c r="Y35" s="7">
        <f t="shared" si="43"/>
        <v>0</v>
      </c>
      <c r="Z35" s="23">
        <f>IF(X35="A",0,VLOOKUP(Y35,'Transmutation Table'!$A$2:$B$32,2))</f>
        <v>70</v>
      </c>
      <c r="AA35" s="7">
        <f t="shared" si="44"/>
        <v>2.3333333333333335</v>
      </c>
      <c r="AB35" s="41"/>
      <c r="AC35" s="7">
        <f t="shared" si="17"/>
        <v>0</v>
      </c>
      <c r="AD35" s="23">
        <f>IF(AB35="A",0,VLOOKUP(AC35,'Transmutation Table'!$A$2:$B$32,2))</f>
        <v>70</v>
      </c>
      <c r="AE35" s="7">
        <f t="shared" si="18"/>
        <v>2.3333333333333335</v>
      </c>
      <c r="AF35" s="17">
        <f t="shared" si="19"/>
        <v>7</v>
      </c>
      <c r="AG35" s="41"/>
      <c r="AH35" s="7">
        <f t="shared" si="20"/>
        <v>0</v>
      </c>
      <c r="AI35" s="23">
        <f>IF(AG35="A",0,VLOOKUP(AH35,'Transmutation Table'!$A$2:$B$32,2))</f>
        <v>70</v>
      </c>
      <c r="AJ35" s="7">
        <f t="shared" si="45"/>
        <v>4.666666666666667</v>
      </c>
      <c r="AK35" s="41"/>
      <c r="AL35" s="7">
        <f t="shared" si="22"/>
        <v>0</v>
      </c>
      <c r="AM35" s="23">
        <f>IF(AK35="A",0,VLOOKUP(AL35,'Transmutation Table'!$A$2:$B$32,2))</f>
        <v>70</v>
      </c>
      <c r="AN35" s="7">
        <f t="shared" si="46"/>
        <v>4.666666666666667</v>
      </c>
      <c r="AO35" s="41"/>
      <c r="AP35" s="7">
        <f t="shared" si="24"/>
        <v>0</v>
      </c>
      <c r="AQ35" s="23">
        <f>IF(AO35="A",0,VLOOKUP(AP35,'Transmutation Table'!$A$2:$B$32,2))</f>
        <v>70</v>
      </c>
      <c r="AR35" s="7">
        <f t="shared" si="47"/>
        <v>4.666666666666667</v>
      </c>
      <c r="AS35" s="17">
        <f t="shared" si="1"/>
        <v>14</v>
      </c>
      <c r="AT35" s="7">
        <f t="shared" si="2"/>
        <v>0</v>
      </c>
      <c r="AU35" s="7">
        <f t="shared" si="3"/>
        <v>70</v>
      </c>
      <c r="AV35" s="25">
        <f t="shared" si="4"/>
        <v>26</v>
      </c>
      <c r="AW35" s="41"/>
      <c r="AX35" s="41"/>
      <c r="AY35" s="16">
        <f t="shared" si="48"/>
        <v>0</v>
      </c>
      <c r="AZ35" s="16">
        <f t="shared" si="26"/>
        <v>50</v>
      </c>
      <c r="BA35" s="7">
        <f t="shared" si="27"/>
        <v>2.5</v>
      </c>
      <c r="BB35" s="41"/>
      <c r="BC35" s="7">
        <f t="shared" si="28"/>
        <v>0</v>
      </c>
      <c r="BD35" s="23">
        <f>IF(BB35="A",0,VLOOKUP(BC35,'Transmutation Table'!$A$2:$B$32,2))</f>
        <v>70</v>
      </c>
      <c r="BE35" s="7">
        <f t="shared" si="49"/>
        <v>2.3333333333333335</v>
      </c>
      <c r="BF35" s="41"/>
      <c r="BG35" s="7">
        <f t="shared" si="50"/>
        <v>0</v>
      </c>
      <c r="BH35" s="23">
        <f>IF(BF35="A",0,VLOOKUP(BG35,'Transmutation Table'!$A$2:$B$32,2))</f>
        <v>70</v>
      </c>
      <c r="BI35" s="7">
        <f t="shared" si="51"/>
        <v>2.3333333333333335</v>
      </c>
      <c r="BJ35" s="41"/>
      <c r="BK35" s="7">
        <f>IFERROR(BJ35/#REF!*100,0)</f>
        <v>0</v>
      </c>
      <c r="BL35" s="23">
        <f>IF(BJ35="A",0,VLOOKUP(BK35,'Transmutation Table'!$A$2:$B$32,2))</f>
        <v>70</v>
      </c>
      <c r="BM35" s="7">
        <f t="shared" si="52"/>
        <v>2.3333333333333335</v>
      </c>
      <c r="BN35" s="7">
        <f t="shared" si="53"/>
        <v>7</v>
      </c>
      <c r="BO35" s="7">
        <f t="shared" si="34"/>
        <v>0</v>
      </c>
      <c r="BP35" s="7">
        <f t="shared" si="35"/>
        <v>50</v>
      </c>
      <c r="BQ35" s="13">
        <f t="shared" si="54"/>
        <v>9.5</v>
      </c>
      <c r="BR35" s="7">
        <f t="shared" si="5"/>
        <v>70.5</v>
      </c>
      <c r="BS35" s="23">
        <f>IFERROR(VLOOKUP(BR35,'Transmutation Table'!$B$2:$V$32,2),5)</f>
        <v>5</v>
      </c>
      <c r="BT35" s="19" t="str">
        <f t="shared" si="55"/>
        <v>FAILED</v>
      </c>
    </row>
    <row r="36" spans="1:74" ht="14.4" customHeight="1" x14ac:dyDescent="0.25">
      <c r="A36" s="8">
        <v>23</v>
      </c>
      <c r="B36" s="74" t="s">
        <v>88</v>
      </c>
      <c r="C36" s="75"/>
      <c r="D36" s="47"/>
      <c r="E36" s="14" t="str">
        <f t="shared" si="6"/>
        <v>/10</v>
      </c>
      <c r="F36" s="27">
        <f>IFERROR(VLOOKUP((D36/$F$12)*100,'Transmutation Table'!$A$2:$B$32,2),0)</f>
        <v>70</v>
      </c>
      <c r="G36" s="12">
        <f t="shared" si="7"/>
        <v>35</v>
      </c>
      <c r="H36" s="18"/>
      <c r="I36" s="18"/>
      <c r="J36" s="18"/>
      <c r="K36" s="18"/>
      <c r="L36" s="18"/>
      <c r="M36" s="18"/>
      <c r="N36" s="18"/>
      <c r="O36" s="17">
        <f t="shared" si="8"/>
        <v>0</v>
      </c>
      <c r="P36" s="17">
        <f t="shared" si="38"/>
        <v>0</v>
      </c>
      <c r="Q36" s="7">
        <f t="shared" si="39"/>
        <v>0</v>
      </c>
      <c r="R36" s="7">
        <f t="shared" si="40"/>
        <v>100</v>
      </c>
      <c r="S36" s="44">
        <f t="shared" si="41"/>
        <v>5</v>
      </c>
      <c r="T36" s="41"/>
      <c r="U36" s="7">
        <f t="shared" si="13"/>
        <v>0</v>
      </c>
      <c r="V36" s="23">
        <f>IF(T36="A",0,VLOOKUP(U36,'Transmutation Table'!$A$2:$B$32,2))</f>
        <v>70</v>
      </c>
      <c r="W36" s="7">
        <f t="shared" si="42"/>
        <v>2.3333333333333335</v>
      </c>
      <c r="X36" s="41"/>
      <c r="Y36" s="7">
        <f t="shared" si="43"/>
        <v>0</v>
      </c>
      <c r="Z36" s="23">
        <f>IF(X36="A",0,VLOOKUP(Y36,'Transmutation Table'!$A$2:$B$32,2))</f>
        <v>70</v>
      </c>
      <c r="AA36" s="7">
        <f t="shared" si="44"/>
        <v>2.3333333333333335</v>
      </c>
      <c r="AB36" s="41"/>
      <c r="AC36" s="7">
        <f t="shared" si="17"/>
        <v>0</v>
      </c>
      <c r="AD36" s="23">
        <f>IF(AB36="A",0,VLOOKUP(AC36,'Transmutation Table'!$A$2:$B$32,2))</f>
        <v>70</v>
      </c>
      <c r="AE36" s="7">
        <f t="shared" si="18"/>
        <v>2.3333333333333335</v>
      </c>
      <c r="AF36" s="17">
        <f t="shared" si="19"/>
        <v>7</v>
      </c>
      <c r="AG36" s="41"/>
      <c r="AH36" s="7">
        <f t="shared" si="20"/>
        <v>0</v>
      </c>
      <c r="AI36" s="23">
        <f>IF(AG36="A",0,VLOOKUP(AH36,'Transmutation Table'!$A$2:$B$32,2))</f>
        <v>70</v>
      </c>
      <c r="AJ36" s="7">
        <f t="shared" si="45"/>
        <v>4.666666666666667</v>
      </c>
      <c r="AK36" s="41"/>
      <c r="AL36" s="7">
        <f t="shared" si="22"/>
        <v>0</v>
      </c>
      <c r="AM36" s="23">
        <f>IF(AK36="A",0,VLOOKUP(AL36,'Transmutation Table'!$A$2:$B$32,2))</f>
        <v>70</v>
      </c>
      <c r="AN36" s="7">
        <f t="shared" si="46"/>
        <v>4.666666666666667</v>
      </c>
      <c r="AO36" s="41"/>
      <c r="AP36" s="7">
        <f t="shared" si="24"/>
        <v>0</v>
      </c>
      <c r="AQ36" s="23">
        <f>IF(AO36="A",0,VLOOKUP(AP36,'Transmutation Table'!$A$2:$B$32,2))</f>
        <v>70</v>
      </c>
      <c r="AR36" s="7">
        <f t="shared" si="47"/>
        <v>4.666666666666667</v>
      </c>
      <c r="AS36" s="17">
        <f t="shared" si="1"/>
        <v>14</v>
      </c>
      <c r="AT36" s="7">
        <f t="shared" si="2"/>
        <v>0</v>
      </c>
      <c r="AU36" s="7">
        <f t="shared" si="3"/>
        <v>70</v>
      </c>
      <c r="AV36" s="25">
        <f t="shared" si="4"/>
        <v>26</v>
      </c>
      <c r="AW36" s="41"/>
      <c r="AX36" s="41"/>
      <c r="AY36" s="16">
        <f t="shared" si="48"/>
        <v>0</v>
      </c>
      <c r="AZ36" s="16">
        <f t="shared" si="26"/>
        <v>50</v>
      </c>
      <c r="BA36" s="7">
        <f t="shared" si="27"/>
        <v>2.5</v>
      </c>
      <c r="BB36" s="41"/>
      <c r="BC36" s="7">
        <f t="shared" si="28"/>
        <v>0</v>
      </c>
      <c r="BD36" s="23">
        <f>IF(BB36="A",0,VLOOKUP(BC36,'Transmutation Table'!$A$2:$B$32,2))</f>
        <v>70</v>
      </c>
      <c r="BE36" s="7">
        <f t="shared" si="49"/>
        <v>2.3333333333333335</v>
      </c>
      <c r="BF36" s="41"/>
      <c r="BG36" s="7">
        <f t="shared" si="50"/>
        <v>0</v>
      </c>
      <c r="BH36" s="23">
        <f>IF(BF36="A",0,VLOOKUP(BG36,'Transmutation Table'!$A$2:$B$32,2))</f>
        <v>70</v>
      </c>
      <c r="BI36" s="7">
        <f t="shared" si="51"/>
        <v>2.3333333333333335</v>
      </c>
      <c r="BJ36" s="41"/>
      <c r="BK36" s="7">
        <f>IFERROR(BJ36/#REF!*100,0)</f>
        <v>0</v>
      </c>
      <c r="BL36" s="23">
        <f>IF(BJ36="A",0,VLOOKUP(BK36,'Transmutation Table'!$A$2:$B$32,2))</f>
        <v>70</v>
      </c>
      <c r="BM36" s="7">
        <f t="shared" si="52"/>
        <v>2.3333333333333335</v>
      </c>
      <c r="BN36" s="7">
        <f t="shared" si="53"/>
        <v>7</v>
      </c>
      <c r="BO36" s="7">
        <f t="shared" si="34"/>
        <v>0</v>
      </c>
      <c r="BP36" s="7">
        <f t="shared" si="35"/>
        <v>50</v>
      </c>
      <c r="BQ36" s="13">
        <f t="shared" si="54"/>
        <v>9.5</v>
      </c>
      <c r="BR36" s="7">
        <f t="shared" si="5"/>
        <v>70.5</v>
      </c>
      <c r="BS36" s="23">
        <f>IFERROR(VLOOKUP(BR36,'Transmutation Table'!$B$2:$V$32,2),5)</f>
        <v>5</v>
      </c>
      <c r="BT36" s="19" t="str">
        <f t="shared" si="55"/>
        <v>FAILED</v>
      </c>
    </row>
    <row r="37" spans="1:74" ht="14.4" customHeight="1" x14ac:dyDescent="0.25">
      <c r="A37" s="8">
        <v>24</v>
      </c>
      <c r="B37" s="74" t="s">
        <v>89</v>
      </c>
      <c r="C37" s="75"/>
      <c r="D37" s="47"/>
      <c r="E37" s="14" t="str">
        <f t="shared" si="6"/>
        <v>/10</v>
      </c>
      <c r="F37" s="27">
        <f>IFERROR(VLOOKUP((D37/$F$12)*100,'Transmutation Table'!$A$2:$B$32,2),0)</f>
        <v>70</v>
      </c>
      <c r="G37" s="12">
        <f t="shared" si="7"/>
        <v>35</v>
      </c>
      <c r="H37" s="18"/>
      <c r="I37" s="18"/>
      <c r="J37" s="18"/>
      <c r="K37" s="18"/>
      <c r="L37" s="18"/>
      <c r="M37" s="18"/>
      <c r="N37" s="18"/>
      <c r="O37" s="17">
        <f t="shared" si="8"/>
        <v>0</v>
      </c>
      <c r="P37" s="17">
        <f t="shared" si="38"/>
        <v>0</v>
      </c>
      <c r="Q37" s="7">
        <f t="shared" si="39"/>
        <v>0</v>
      </c>
      <c r="R37" s="7">
        <f t="shared" si="40"/>
        <v>100</v>
      </c>
      <c r="S37" s="44">
        <f t="shared" si="41"/>
        <v>5</v>
      </c>
      <c r="T37" s="41"/>
      <c r="U37" s="7">
        <f t="shared" si="13"/>
        <v>0</v>
      </c>
      <c r="V37" s="23">
        <f>IF(T37="A",0,VLOOKUP(U37,'Transmutation Table'!$A$2:$B$32,2))</f>
        <v>70</v>
      </c>
      <c r="W37" s="7">
        <f t="shared" si="42"/>
        <v>2.3333333333333335</v>
      </c>
      <c r="X37" s="41"/>
      <c r="Y37" s="7">
        <f t="shared" si="43"/>
        <v>0</v>
      </c>
      <c r="Z37" s="23">
        <f>IF(X37="A",0,VLOOKUP(Y37,'Transmutation Table'!$A$2:$B$32,2))</f>
        <v>70</v>
      </c>
      <c r="AA37" s="7">
        <f t="shared" si="44"/>
        <v>2.3333333333333335</v>
      </c>
      <c r="AB37" s="41"/>
      <c r="AC37" s="7">
        <f t="shared" si="17"/>
        <v>0</v>
      </c>
      <c r="AD37" s="23">
        <f>IF(AB37="A",0,VLOOKUP(AC37,'Transmutation Table'!$A$2:$B$32,2))</f>
        <v>70</v>
      </c>
      <c r="AE37" s="7">
        <f t="shared" si="18"/>
        <v>2.3333333333333335</v>
      </c>
      <c r="AF37" s="17">
        <f t="shared" si="19"/>
        <v>7</v>
      </c>
      <c r="AG37" s="41"/>
      <c r="AH37" s="7">
        <f t="shared" si="20"/>
        <v>0</v>
      </c>
      <c r="AI37" s="23">
        <f>IF(AG37="A",0,VLOOKUP(AH37,'Transmutation Table'!$A$2:$B$32,2))</f>
        <v>70</v>
      </c>
      <c r="AJ37" s="7">
        <f t="shared" si="45"/>
        <v>4.666666666666667</v>
      </c>
      <c r="AK37" s="41"/>
      <c r="AL37" s="7">
        <f t="shared" si="22"/>
        <v>0</v>
      </c>
      <c r="AM37" s="23">
        <f>IF(AK37="A",0,VLOOKUP(AL37,'Transmutation Table'!$A$2:$B$32,2))</f>
        <v>70</v>
      </c>
      <c r="AN37" s="7">
        <f t="shared" si="46"/>
        <v>4.666666666666667</v>
      </c>
      <c r="AO37" s="41"/>
      <c r="AP37" s="7">
        <f t="shared" si="24"/>
        <v>0</v>
      </c>
      <c r="AQ37" s="23">
        <f>IF(AO37="A",0,VLOOKUP(AP37,'Transmutation Table'!$A$2:$B$32,2))</f>
        <v>70</v>
      </c>
      <c r="AR37" s="7">
        <f t="shared" si="47"/>
        <v>4.666666666666667</v>
      </c>
      <c r="AS37" s="17">
        <f t="shared" si="1"/>
        <v>14</v>
      </c>
      <c r="AT37" s="7">
        <f t="shared" si="2"/>
        <v>0</v>
      </c>
      <c r="AU37" s="7">
        <f t="shared" si="3"/>
        <v>70</v>
      </c>
      <c r="AV37" s="25">
        <f t="shared" si="4"/>
        <v>26</v>
      </c>
      <c r="AW37" s="41"/>
      <c r="AX37" s="41"/>
      <c r="AY37" s="16">
        <f t="shared" si="48"/>
        <v>0</v>
      </c>
      <c r="AZ37" s="16">
        <f t="shared" si="26"/>
        <v>50</v>
      </c>
      <c r="BA37" s="7">
        <f t="shared" si="27"/>
        <v>2.5</v>
      </c>
      <c r="BB37" s="41"/>
      <c r="BC37" s="7">
        <f t="shared" si="28"/>
        <v>0</v>
      </c>
      <c r="BD37" s="23">
        <f>IF(BB37="A",0,VLOOKUP(BC37,'Transmutation Table'!$A$2:$B$32,2))</f>
        <v>70</v>
      </c>
      <c r="BE37" s="7">
        <f t="shared" si="49"/>
        <v>2.3333333333333335</v>
      </c>
      <c r="BF37" s="41"/>
      <c r="BG37" s="7">
        <f t="shared" si="50"/>
        <v>0</v>
      </c>
      <c r="BH37" s="23">
        <f>IF(BF37="A",0,VLOOKUP(BG37,'Transmutation Table'!$A$2:$B$32,2))</f>
        <v>70</v>
      </c>
      <c r="BI37" s="7">
        <f t="shared" si="51"/>
        <v>2.3333333333333335</v>
      </c>
      <c r="BJ37" s="41"/>
      <c r="BK37" s="7">
        <f>IFERROR(BJ37/#REF!*100,0)</f>
        <v>0</v>
      </c>
      <c r="BL37" s="23">
        <f>IF(BJ37="A",0,VLOOKUP(BK37,'Transmutation Table'!$A$2:$B$32,2))</f>
        <v>70</v>
      </c>
      <c r="BM37" s="7">
        <f t="shared" si="52"/>
        <v>2.3333333333333335</v>
      </c>
      <c r="BN37" s="7">
        <f t="shared" si="53"/>
        <v>7</v>
      </c>
      <c r="BO37" s="7">
        <f t="shared" si="34"/>
        <v>0</v>
      </c>
      <c r="BP37" s="7">
        <f t="shared" si="35"/>
        <v>50</v>
      </c>
      <c r="BQ37" s="13">
        <f t="shared" si="54"/>
        <v>9.5</v>
      </c>
      <c r="BR37" s="7">
        <f t="shared" si="5"/>
        <v>70.5</v>
      </c>
      <c r="BS37" s="23">
        <f>IFERROR(VLOOKUP(BR37,'Transmutation Table'!$B$2:$V$32,2),5)</f>
        <v>5</v>
      </c>
      <c r="BT37" s="19" t="str">
        <f t="shared" si="55"/>
        <v>FAILED</v>
      </c>
    </row>
    <row r="38" spans="1:74" ht="14.4" customHeight="1" x14ac:dyDescent="0.25">
      <c r="A38" s="8">
        <v>25</v>
      </c>
      <c r="B38" s="74" t="s">
        <v>90</v>
      </c>
      <c r="C38" s="75"/>
      <c r="D38" s="47"/>
      <c r="E38" s="14" t="str">
        <f t="shared" si="6"/>
        <v>/10</v>
      </c>
      <c r="F38" s="27">
        <f>IFERROR(VLOOKUP((D38/$F$12)*100,'Transmutation Table'!$A$2:$B$32,2),0)</f>
        <v>70</v>
      </c>
      <c r="G38" s="12">
        <f t="shared" si="7"/>
        <v>35</v>
      </c>
      <c r="H38" s="18"/>
      <c r="I38" s="18"/>
      <c r="J38" s="18"/>
      <c r="K38" s="18"/>
      <c r="L38" s="18"/>
      <c r="M38" s="18"/>
      <c r="N38" s="18"/>
      <c r="O38" s="17">
        <f t="shared" si="8"/>
        <v>0</v>
      </c>
      <c r="P38" s="17">
        <f t="shared" si="38"/>
        <v>0</v>
      </c>
      <c r="Q38" s="7">
        <f t="shared" si="39"/>
        <v>0</v>
      </c>
      <c r="R38" s="7">
        <f t="shared" si="40"/>
        <v>100</v>
      </c>
      <c r="S38" s="44">
        <f t="shared" si="41"/>
        <v>5</v>
      </c>
      <c r="T38" s="41"/>
      <c r="U38" s="7">
        <f t="shared" si="13"/>
        <v>0</v>
      </c>
      <c r="V38" s="23">
        <f>IF(T38="A",0,VLOOKUP(U38,'Transmutation Table'!$A$2:$B$32,2))</f>
        <v>70</v>
      </c>
      <c r="W38" s="7">
        <f t="shared" si="42"/>
        <v>2.3333333333333335</v>
      </c>
      <c r="X38" s="41"/>
      <c r="Y38" s="7">
        <f t="shared" si="43"/>
        <v>0</v>
      </c>
      <c r="Z38" s="23">
        <f>IF(X38="A",0,VLOOKUP(Y38,'Transmutation Table'!$A$2:$B$32,2))</f>
        <v>70</v>
      </c>
      <c r="AA38" s="7">
        <f t="shared" si="44"/>
        <v>2.3333333333333335</v>
      </c>
      <c r="AB38" s="41"/>
      <c r="AC38" s="7">
        <f t="shared" si="17"/>
        <v>0</v>
      </c>
      <c r="AD38" s="23">
        <f>IF(AB38="A",0,VLOOKUP(AC38,'Transmutation Table'!$A$2:$B$32,2))</f>
        <v>70</v>
      </c>
      <c r="AE38" s="7">
        <f t="shared" si="18"/>
        <v>2.3333333333333335</v>
      </c>
      <c r="AF38" s="17">
        <f t="shared" si="19"/>
        <v>7</v>
      </c>
      <c r="AG38" s="41"/>
      <c r="AH38" s="7">
        <f t="shared" si="20"/>
        <v>0</v>
      </c>
      <c r="AI38" s="23">
        <f>IF(AG38="A",0,VLOOKUP(AH38,'Transmutation Table'!$A$2:$B$32,2))</f>
        <v>70</v>
      </c>
      <c r="AJ38" s="7">
        <f t="shared" si="45"/>
        <v>4.666666666666667</v>
      </c>
      <c r="AK38" s="41"/>
      <c r="AL38" s="7">
        <f t="shared" si="22"/>
        <v>0</v>
      </c>
      <c r="AM38" s="23">
        <f>IF(AK38="A",0,VLOOKUP(AL38,'Transmutation Table'!$A$2:$B$32,2))</f>
        <v>70</v>
      </c>
      <c r="AN38" s="7">
        <f t="shared" si="46"/>
        <v>4.666666666666667</v>
      </c>
      <c r="AO38" s="41"/>
      <c r="AP38" s="7">
        <f t="shared" si="24"/>
        <v>0</v>
      </c>
      <c r="AQ38" s="23">
        <f>IF(AO38="A",0,VLOOKUP(AP38,'Transmutation Table'!$A$2:$B$32,2))</f>
        <v>70</v>
      </c>
      <c r="AR38" s="7">
        <f t="shared" si="47"/>
        <v>4.666666666666667</v>
      </c>
      <c r="AS38" s="17">
        <f t="shared" si="1"/>
        <v>14</v>
      </c>
      <c r="AT38" s="7">
        <f t="shared" si="2"/>
        <v>0</v>
      </c>
      <c r="AU38" s="7">
        <f t="shared" si="3"/>
        <v>70</v>
      </c>
      <c r="AV38" s="25">
        <f t="shared" si="4"/>
        <v>26</v>
      </c>
      <c r="AW38" s="41"/>
      <c r="AX38" s="41"/>
      <c r="AY38" s="16">
        <f t="shared" si="48"/>
        <v>0</v>
      </c>
      <c r="AZ38" s="16">
        <f t="shared" si="26"/>
        <v>50</v>
      </c>
      <c r="BA38" s="7">
        <f t="shared" si="27"/>
        <v>2.5</v>
      </c>
      <c r="BB38" s="41"/>
      <c r="BC38" s="7">
        <f t="shared" si="28"/>
        <v>0</v>
      </c>
      <c r="BD38" s="23">
        <f>IF(BB38="A",0,VLOOKUP(BC38,'Transmutation Table'!$A$2:$B$32,2))</f>
        <v>70</v>
      </c>
      <c r="BE38" s="7">
        <f t="shared" si="49"/>
        <v>2.3333333333333335</v>
      </c>
      <c r="BF38" s="41"/>
      <c r="BG38" s="7">
        <f t="shared" si="50"/>
        <v>0</v>
      </c>
      <c r="BH38" s="23">
        <f>IF(BF38="A",0,VLOOKUP(BG38,'Transmutation Table'!$A$2:$B$32,2))</f>
        <v>70</v>
      </c>
      <c r="BI38" s="7">
        <f t="shared" si="51"/>
        <v>2.3333333333333335</v>
      </c>
      <c r="BJ38" s="41"/>
      <c r="BK38" s="7">
        <f>IFERROR(BJ38/#REF!*100,0)</f>
        <v>0</v>
      </c>
      <c r="BL38" s="23">
        <f>IF(BJ38="A",0,VLOOKUP(BK38,'Transmutation Table'!$A$2:$B$32,2))</f>
        <v>70</v>
      </c>
      <c r="BM38" s="7">
        <f t="shared" si="52"/>
        <v>2.3333333333333335</v>
      </c>
      <c r="BN38" s="7">
        <f t="shared" si="53"/>
        <v>7</v>
      </c>
      <c r="BO38" s="7">
        <f t="shared" si="34"/>
        <v>0</v>
      </c>
      <c r="BP38" s="7">
        <f t="shared" si="35"/>
        <v>50</v>
      </c>
      <c r="BQ38" s="13">
        <f t="shared" si="54"/>
        <v>9.5</v>
      </c>
      <c r="BR38" s="7">
        <f t="shared" si="5"/>
        <v>70.5</v>
      </c>
      <c r="BS38" s="23">
        <f>IFERROR(VLOOKUP(BR38,'Transmutation Table'!$B$2:$V$32,2),5)</f>
        <v>5</v>
      </c>
      <c r="BT38" s="19" t="str">
        <f t="shared" si="55"/>
        <v>FAILED</v>
      </c>
    </row>
    <row r="39" spans="1:74" ht="14.4" customHeight="1" x14ac:dyDescent="0.25">
      <c r="A39" s="8">
        <v>26</v>
      </c>
      <c r="B39" s="74" t="s">
        <v>91</v>
      </c>
      <c r="C39" s="75"/>
      <c r="D39" s="47"/>
      <c r="E39" s="14" t="str">
        <f t="shared" si="6"/>
        <v>/10</v>
      </c>
      <c r="F39" s="27">
        <f>IFERROR(VLOOKUP((D39/$F$12)*100,'Transmutation Table'!$A$2:$B$32,2),0)</f>
        <v>70</v>
      </c>
      <c r="G39" s="12">
        <f t="shared" si="7"/>
        <v>35</v>
      </c>
      <c r="H39" s="18"/>
      <c r="I39" s="18"/>
      <c r="J39" s="18"/>
      <c r="K39" s="18"/>
      <c r="L39" s="18"/>
      <c r="M39" s="18"/>
      <c r="N39" s="18"/>
      <c r="O39" s="17">
        <f t="shared" si="8"/>
        <v>0</v>
      </c>
      <c r="P39" s="17">
        <f t="shared" si="38"/>
        <v>0</v>
      </c>
      <c r="Q39" s="7">
        <f t="shared" si="39"/>
        <v>0</v>
      </c>
      <c r="R39" s="7">
        <f t="shared" si="40"/>
        <v>100</v>
      </c>
      <c r="S39" s="44">
        <f t="shared" si="41"/>
        <v>5</v>
      </c>
      <c r="T39" s="41"/>
      <c r="U39" s="7">
        <f t="shared" si="13"/>
        <v>0</v>
      </c>
      <c r="V39" s="23">
        <f>IF(T39="A",0,VLOOKUP(U39,'Transmutation Table'!$A$2:$B$32,2))</f>
        <v>70</v>
      </c>
      <c r="W39" s="7">
        <f t="shared" si="42"/>
        <v>2.3333333333333335</v>
      </c>
      <c r="X39" s="41"/>
      <c r="Y39" s="7">
        <f t="shared" si="43"/>
        <v>0</v>
      </c>
      <c r="Z39" s="23">
        <f>IF(X39="A",0,VLOOKUP(Y39,'Transmutation Table'!$A$2:$B$32,2))</f>
        <v>70</v>
      </c>
      <c r="AA39" s="7">
        <f t="shared" si="44"/>
        <v>2.3333333333333335</v>
      </c>
      <c r="AB39" s="41"/>
      <c r="AC39" s="7">
        <f t="shared" si="17"/>
        <v>0</v>
      </c>
      <c r="AD39" s="23">
        <f>IF(AB39="A",0,VLOOKUP(AC39,'Transmutation Table'!$A$2:$B$32,2))</f>
        <v>70</v>
      </c>
      <c r="AE39" s="7">
        <f t="shared" si="18"/>
        <v>2.3333333333333335</v>
      </c>
      <c r="AF39" s="17">
        <f t="shared" si="19"/>
        <v>7</v>
      </c>
      <c r="AG39" s="41"/>
      <c r="AH39" s="7">
        <f t="shared" si="20"/>
        <v>0</v>
      </c>
      <c r="AI39" s="23">
        <f>IF(AG39="A",0,VLOOKUP(AH39,'Transmutation Table'!$A$2:$B$32,2))</f>
        <v>70</v>
      </c>
      <c r="AJ39" s="7">
        <f t="shared" si="45"/>
        <v>4.666666666666667</v>
      </c>
      <c r="AK39" s="41"/>
      <c r="AL39" s="7">
        <f t="shared" si="22"/>
        <v>0</v>
      </c>
      <c r="AM39" s="23">
        <f>IF(AK39="A",0,VLOOKUP(AL39,'Transmutation Table'!$A$2:$B$32,2))</f>
        <v>70</v>
      </c>
      <c r="AN39" s="7">
        <f t="shared" si="46"/>
        <v>4.666666666666667</v>
      </c>
      <c r="AO39" s="41"/>
      <c r="AP39" s="7">
        <f t="shared" si="24"/>
        <v>0</v>
      </c>
      <c r="AQ39" s="23">
        <f>IF(AO39="A",0,VLOOKUP(AP39,'Transmutation Table'!$A$2:$B$32,2))</f>
        <v>70</v>
      </c>
      <c r="AR39" s="7">
        <f t="shared" si="47"/>
        <v>4.666666666666667</v>
      </c>
      <c r="AS39" s="17">
        <f t="shared" si="1"/>
        <v>14</v>
      </c>
      <c r="AT39" s="7">
        <f t="shared" si="2"/>
        <v>0</v>
      </c>
      <c r="AU39" s="7">
        <f t="shared" si="3"/>
        <v>70</v>
      </c>
      <c r="AV39" s="25">
        <f t="shared" si="4"/>
        <v>26</v>
      </c>
      <c r="AW39" s="41"/>
      <c r="AX39" s="41"/>
      <c r="AY39" s="16">
        <f t="shared" si="48"/>
        <v>0</v>
      </c>
      <c r="AZ39" s="16">
        <f t="shared" si="26"/>
        <v>50</v>
      </c>
      <c r="BA39" s="7">
        <f t="shared" si="27"/>
        <v>2.5</v>
      </c>
      <c r="BB39" s="41"/>
      <c r="BC39" s="7">
        <f t="shared" si="28"/>
        <v>0</v>
      </c>
      <c r="BD39" s="23">
        <f>IF(BB39="A",0,VLOOKUP(BC39,'Transmutation Table'!$A$2:$B$32,2))</f>
        <v>70</v>
      </c>
      <c r="BE39" s="7">
        <f t="shared" si="49"/>
        <v>2.3333333333333335</v>
      </c>
      <c r="BF39" s="41"/>
      <c r="BG39" s="7">
        <f t="shared" si="50"/>
        <v>0</v>
      </c>
      <c r="BH39" s="23">
        <f>IF(BF39="A",0,VLOOKUP(BG39,'Transmutation Table'!$A$2:$B$32,2))</f>
        <v>70</v>
      </c>
      <c r="BI39" s="7">
        <f t="shared" si="51"/>
        <v>2.3333333333333335</v>
      </c>
      <c r="BJ39" s="41"/>
      <c r="BK39" s="7">
        <f>IFERROR(BJ39/#REF!*100,0)</f>
        <v>0</v>
      </c>
      <c r="BL39" s="23">
        <f>IF(BJ39="A",0,VLOOKUP(BK39,'Transmutation Table'!$A$2:$B$32,2))</f>
        <v>70</v>
      </c>
      <c r="BM39" s="7">
        <f t="shared" si="52"/>
        <v>2.3333333333333335</v>
      </c>
      <c r="BN39" s="7">
        <f t="shared" si="53"/>
        <v>7</v>
      </c>
      <c r="BO39" s="7">
        <f t="shared" si="34"/>
        <v>0</v>
      </c>
      <c r="BP39" s="7">
        <f t="shared" si="35"/>
        <v>50</v>
      </c>
      <c r="BQ39" s="13">
        <f t="shared" si="54"/>
        <v>9.5</v>
      </c>
      <c r="BR39" s="7">
        <f t="shared" si="5"/>
        <v>70.5</v>
      </c>
      <c r="BS39" s="23">
        <f>IFERROR(VLOOKUP(BR39,'Transmutation Table'!$B$2:$V$32,2),5)</f>
        <v>5</v>
      </c>
      <c r="BT39" s="19" t="str">
        <f t="shared" si="55"/>
        <v>FAILED</v>
      </c>
      <c r="BV39" s="9" t="s">
        <v>61</v>
      </c>
    </row>
    <row r="40" spans="1:74" ht="14.4" customHeight="1" x14ac:dyDescent="0.25">
      <c r="A40" s="8">
        <v>27</v>
      </c>
      <c r="B40" s="74" t="s">
        <v>92</v>
      </c>
      <c r="C40" s="75"/>
      <c r="D40" s="47"/>
      <c r="E40" s="14" t="str">
        <f t="shared" si="6"/>
        <v>/10</v>
      </c>
      <c r="F40" s="27">
        <f>IFERROR(VLOOKUP((D40/$F$12)*100,'Transmutation Table'!$A$2:$B$32,2),0)</f>
        <v>70</v>
      </c>
      <c r="G40" s="12">
        <f t="shared" si="7"/>
        <v>35</v>
      </c>
      <c r="H40" s="18"/>
      <c r="I40" s="18"/>
      <c r="J40" s="18"/>
      <c r="K40" s="18"/>
      <c r="L40" s="18"/>
      <c r="M40" s="18"/>
      <c r="N40" s="18"/>
      <c r="O40" s="17">
        <f t="shared" si="8"/>
        <v>0</v>
      </c>
      <c r="P40" s="17">
        <f t="shared" si="38"/>
        <v>0</v>
      </c>
      <c r="Q40" s="7">
        <f t="shared" si="39"/>
        <v>0</v>
      </c>
      <c r="R40" s="7">
        <f t="shared" si="40"/>
        <v>100</v>
      </c>
      <c r="S40" s="44">
        <f t="shared" si="41"/>
        <v>5</v>
      </c>
      <c r="T40" s="41"/>
      <c r="U40" s="7">
        <f t="shared" si="13"/>
        <v>0</v>
      </c>
      <c r="V40" s="23">
        <f>IF(T40="A",0,VLOOKUP(U40,'Transmutation Table'!$A$2:$B$32,2))</f>
        <v>70</v>
      </c>
      <c r="W40" s="7">
        <f t="shared" si="42"/>
        <v>2.3333333333333335</v>
      </c>
      <c r="X40" s="41"/>
      <c r="Y40" s="7">
        <f t="shared" si="43"/>
        <v>0</v>
      </c>
      <c r="Z40" s="23">
        <f>IF(X40="A",0,VLOOKUP(Y40,'Transmutation Table'!$A$2:$B$32,2))</f>
        <v>70</v>
      </c>
      <c r="AA40" s="7">
        <f t="shared" si="44"/>
        <v>2.3333333333333335</v>
      </c>
      <c r="AB40" s="41"/>
      <c r="AC40" s="7">
        <f t="shared" si="17"/>
        <v>0</v>
      </c>
      <c r="AD40" s="23">
        <f>IF(AB40="A",0,VLOOKUP(AC40,'Transmutation Table'!$A$2:$B$32,2))</f>
        <v>70</v>
      </c>
      <c r="AE40" s="7">
        <f t="shared" si="18"/>
        <v>2.3333333333333335</v>
      </c>
      <c r="AF40" s="17">
        <f t="shared" si="19"/>
        <v>7</v>
      </c>
      <c r="AG40" s="41"/>
      <c r="AH40" s="7">
        <f t="shared" si="20"/>
        <v>0</v>
      </c>
      <c r="AI40" s="23">
        <f>IF(AG40="A",0,VLOOKUP(AH40,'Transmutation Table'!$A$2:$B$32,2))</f>
        <v>70</v>
      </c>
      <c r="AJ40" s="7">
        <f t="shared" si="45"/>
        <v>4.666666666666667</v>
      </c>
      <c r="AK40" s="41"/>
      <c r="AL40" s="7">
        <f t="shared" si="22"/>
        <v>0</v>
      </c>
      <c r="AM40" s="23">
        <f>IF(AK40="A",0,VLOOKUP(AL40,'Transmutation Table'!$A$2:$B$32,2))</f>
        <v>70</v>
      </c>
      <c r="AN40" s="7">
        <f t="shared" si="46"/>
        <v>4.666666666666667</v>
      </c>
      <c r="AO40" s="41"/>
      <c r="AP40" s="7">
        <f t="shared" si="24"/>
        <v>0</v>
      </c>
      <c r="AQ40" s="23">
        <f>IF(AO40="A",0,VLOOKUP(AP40,'Transmutation Table'!$A$2:$B$32,2))</f>
        <v>70</v>
      </c>
      <c r="AR40" s="7">
        <f t="shared" si="47"/>
        <v>4.666666666666667</v>
      </c>
      <c r="AS40" s="17">
        <f t="shared" si="1"/>
        <v>14</v>
      </c>
      <c r="AT40" s="7">
        <f t="shared" si="2"/>
        <v>0</v>
      </c>
      <c r="AU40" s="7">
        <f t="shared" si="3"/>
        <v>70</v>
      </c>
      <c r="AV40" s="25">
        <f t="shared" si="4"/>
        <v>26</v>
      </c>
      <c r="AW40" s="41"/>
      <c r="AX40" s="41"/>
      <c r="AY40" s="16">
        <f t="shared" si="48"/>
        <v>0</v>
      </c>
      <c r="AZ40" s="16">
        <f t="shared" si="26"/>
        <v>50</v>
      </c>
      <c r="BA40" s="7">
        <f t="shared" si="27"/>
        <v>2.5</v>
      </c>
      <c r="BB40" s="41"/>
      <c r="BC40" s="7">
        <f t="shared" si="28"/>
        <v>0</v>
      </c>
      <c r="BD40" s="23">
        <f>IF(BB40="A",0,VLOOKUP(BC40,'Transmutation Table'!$A$2:$B$32,2))</f>
        <v>70</v>
      </c>
      <c r="BE40" s="7">
        <f t="shared" si="49"/>
        <v>2.3333333333333335</v>
      </c>
      <c r="BF40" s="41"/>
      <c r="BG40" s="7">
        <f t="shared" si="50"/>
        <v>0</v>
      </c>
      <c r="BH40" s="23">
        <f>IF(BF40="A",0,VLOOKUP(BG40,'Transmutation Table'!$A$2:$B$32,2))</f>
        <v>70</v>
      </c>
      <c r="BI40" s="7">
        <f t="shared" si="51"/>
        <v>2.3333333333333335</v>
      </c>
      <c r="BJ40" s="41"/>
      <c r="BK40" s="7">
        <f>IFERROR(BJ40/#REF!*100,0)</f>
        <v>0</v>
      </c>
      <c r="BL40" s="23">
        <f>IF(BJ40="A",0,VLOOKUP(BK40,'Transmutation Table'!$A$2:$B$32,2))</f>
        <v>70</v>
      </c>
      <c r="BM40" s="7">
        <f t="shared" si="52"/>
        <v>2.3333333333333335</v>
      </c>
      <c r="BN40" s="7">
        <f t="shared" si="53"/>
        <v>7</v>
      </c>
      <c r="BO40" s="7">
        <f t="shared" si="34"/>
        <v>0</v>
      </c>
      <c r="BP40" s="7">
        <f t="shared" si="35"/>
        <v>50</v>
      </c>
      <c r="BQ40" s="13">
        <f t="shared" si="54"/>
        <v>9.5</v>
      </c>
      <c r="BR40" s="7">
        <f t="shared" si="5"/>
        <v>70.5</v>
      </c>
      <c r="BS40" s="23">
        <f>IFERROR(VLOOKUP(BR40,'Transmutation Table'!$B$2:$V$32,2),5)</f>
        <v>5</v>
      </c>
      <c r="BT40" s="19" t="str">
        <f t="shared" si="55"/>
        <v>FAILED</v>
      </c>
    </row>
    <row r="41" spans="1:74" ht="14.4" customHeight="1" x14ac:dyDescent="0.25">
      <c r="A41" s="8">
        <v>28</v>
      </c>
      <c r="B41" s="74" t="s">
        <v>93</v>
      </c>
      <c r="C41" s="75"/>
      <c r="D41" s="47"/>
      <c r="E41" s="14" t="str">
        <f t="shared" si="6"/>
        <v>/10</v>
      </c>
      <c r="F41" s="27">
        <f>IFERROR(VLOOKUP((D41/$F$12)*100,'Transmutation Table'!$A$2:$B$32,2),0)</f>
        <v>70</v>
      </c>
      <c r="G41" s="12">
        <f t="shared" si="7"/>
        <v>35</v>
      </c>
      <c r="H41" s="18"/>
      <c r="I41" s="18"/>
      <c r="J41" s="18"/>
      <c r="K41" s="18"/>
      <c r="L41" s="18"/>
      <c r="M41" s="18"/>
      <c r="N41" s="18"/>
      <c r="O41" s="17">
        <f t="shared" si="8"/>
        <v>0</v>
      </c>
      <c r="P41" s="17">
        <f t="shared" si="38"/>
        <v>0</v>
      </c>
      <c r="Q41" s="7">
        <f t="shared" si="39"/>
        <v>0</v>
      </c>
      <c r="R41" s="7">
        <f t="shared" si="40"/>
        <v>100</v>
      </c>
      <c r="S41" s="44">
        <f t="shared" si="41"/>
        <v>5</v>
      </c>
      <c r="T41" s="41"/>
      <c r="U41" s="7">
        <f t="shared" si="13"/>
        <v>0</v>
      </c>
      <c r="V41" s="23">
        <f>IF(T41="A",0,VLOOKUP(U41,'Transmutation Table'!$A$2:$B$32,2))</f>
        <v>70</v>
      </c>
      <c r="W41" s="7">
        <f t="shared" si="42"/>
        <v>2.3333333333333335</v>
      </c>
      <c r="X41" s="41"/>
      <c r="Y41" s="7">
        <f t="shared" si="43"/>
        <v>0</v>
      </c>
      <c r="Z41" s="23">
        <f>IF(X41="A",0,VLOOKUP(Y41,'Transmutation Table'!$A$2:$B$32,2))</f>
        <v>70</v>
      </c>
      <c r="AA41" s="7">
        <f t="shared" si="44"/>
        <v>2.3333333333333335</v>
      </c>
      <c r="AB41" s="41"/>
      <c r="AC41" s="7">
        <f t="shared" si="17"/>
        <v>0</v>
      </c>
      <c r="AD41" s="23">
        <f>IF(AB41="A",0,VLOOKUP(AC41,'Transmutation Table'!$A$2:$B$32,2))</f>
        <v>70</v>
      </c>
      <c r="AE41" s="7">
        <f t="shared" si="18"/>
        <v>2.3333333333333335</v>
      </c>
      <c r="AF41" s="17">
        <f t="shared" si="19"/>
        <v>7</v>
      </c>
      <c r="AG41" s="41"/>
      <c r="AH41" s="7">
        <f t="shared" si="20"/>
        <v>0</v>
      </c>
      <c r="AI41" s="23">
        <f>IF(AG41="A",0,VLOOKUP(AH41,'Transmutation Table'!$A$2:$B$32,2))</f>
        <v>70</v>
      </c>
      <c r="AJ41" s="7">
        <f t="shared" si="45"/>
        <v>4.666666666666667</v>
      </c>
      <c r="AK41" s="41"/>
      <c r="AL41" s="7">
        <f t="shared" si="22"/>
        <v>0</v>
      </c>
      <c r="AM41" s="23">
        <f>IF(AK41="A",0,VLOOKUP(AL41,'Transmutation Table'!$A$2:$B$32,2))</f>
        <v>70</v>
      </c>
      <c r="AN41" s="7">
        <f t="shared" si="46"/>
        <v>4.666666666666667</v>
      </c>
      <c r="AO41" s="41"/>
      <c r="AP41" s="7">
        <f t="shared" si="24"/>
        <v>0</v>
      </c>
      <c r="AQ41" s="23">
        <f>IF(AO41="A",0,VLOOKUP(AP41,'Transmutation Table'!$A$2:$B$32,2))</f>
        <v>70</v>
      </c>
      <c r="AR41" s="7">
        <f t="shared" si="47"/>
        <v>4.666666666666667</v>
      </c>
      <c r="AS41" s="17">
        <f t="shared" si="1"/>
        <v>14</v>
      </c>
      <c r="AT41" s="7">
        <f t="shared" si="2"/>
        <v>0</v>
      </c>
      <c r="AU41" s="7">
        <f t="shared" si="3"/>
        <v>70</v>
      </c>
      <c r="AV41" s="25">
        <f t="shared" si="4"/>
        <v>26</v>
      </c>
      <c r="AW41" s="41"/>
      <c r="AX41" s="41"/>
      <c r="AY41" s="16">
        <f t="shared" si="48"/>
        <v>0</v>
      </c>
      <c r="AZ41" s="16">
        <f t="shared" si="26"/>
        <v>50</v>
      </c>
      <c r="BA41" s="7">
        <f t="shared" si="27"/>
        <v>2.5</v>
      </c>
      <c r="BB41" s="41"/>
      <c r="BC41" s="7">
        <f t="shared" si="28"/>
        <v>0</v>
      </c>
      <c r="BD41" s="23">
        <f>IF(BB41="A",0,VLOOKUP(BC41,'Transmutation Table'!$A$2:$B$32,2))</f>
        <v>70</v>
      </c>
      <c r="BE41" s="7">
        <f t="shared" si="49"/>
        <v>2.3333333333333335</v>
      </c>
      <c r="BF41" s="41"/>
      <c r="BG41" s="7">
        <f t="shared" si="50"/>
        <v>0</v>
      </c>
      <c r="BH41" s="23">
        <f>IF(BF41="A",0,VLOOKUP(BG41,'Transmutation Table'!$A$2:$B$32,2))</f>
        <v>70</v>
      </c>
      <c r="BI41" s="7">
        <f t="shared" si="51"/>
        <v>2.3333333333333335</v>
      </c>
      <c r="BJ41" s="41"/>
      <c r="BK41" s="7">
        <f>IFERROR(BJ41/#REF!*100,0)</f>
        <v>0</v>
      </c>
      <c r="BL41" s="23">
        <f>IF(BJ41="A",0,VLOOKUP(BK41,'Transmutation Table'!$A$2:$B$32,2))</f>
        <v>70</v>
      </c>
      <c r="BM41" s="7">
        <f t="shared" si="52"/>
        <v>2.3333333333333335</v>
      </c>
      <c r="BN41" s="7">
        <f t="shared" si="53"/>
        <v>7</v>
      </c>
      <c r="BO41" s="7">
        <f t="shared" si="34"/>
        <v>0</v>
      </c>
      <c r="BP41" s="7">
        <f t="shared" si="35"/>
        <v>50</v>
      </c>
      <c r="BQ41" s="13">
        <f t="shared" si="54"/>
        <v>9.5</v>
      </c>
      <c r="BR41" s="7">
        <f t="shared" si="5"/>
        <v>70.5</v>
      </c>
      <c r="BS41" s="23">
        <f>IFERROR(VLOOKUP(BR41,'Transmutation Table'!$B$2:$V$32,2),5)</f>
        <v>5</v>
      </c>
      <c r="BT41" s="19" t="str">
        <f t="shared" si="55"/>
        <v>FAILED</v>
      </c>
    </row>
    <row r="42" spans="1:74" ht="14.4" customHeight="1" x14ac:dyDescent="0.25">
      <c r="A42" s="8">
        <v>29</v>
      </c>
      <c r="B42" s="74" t="s">
        <v>94</v>
      </c>
      <c r="C42" s="75"/>
      <c r="D42" s="47"/>
      <c r="E42" s="14" t="str">
        <f t="shared" si="6"/>
        <v>/10</v>
      </c>
      <c r="F42" s="27">
        <f>IFERROR(VLOOKUP((D42/$F$12)*100,'Transmutation Table'!$A$2:$B$32,2),0)</f>
        <v>70</v>
      </c>
      <c r="G42" s="12">
        <f t="shared" si="7"/>
        <v>35</v>
      </c>
      <c r="H42" s="18"/>
      <c r="I42" s="18"/>
      <c r="J42" s="18"/>
      <c r="K42" s="18"/>
      <c r="L42" s="18"/>
      <c r="M42" s="18"/>
      <c r="N42" s="18"/>
      <c r="O42" s="17">
        <f t="shared" si="8"/>
        <v>0</v>
      </c>
      <c r="P42" s="17">
        <f t="shared" si="38"/>
        <v>0</v>
      </c>
      <c r="Q42" s="7">
        <f t="shared" si="39"/>
        <v>0</v>
      </c>
      <c r="R42" s="7">
        <f t="shared" si="40"/>
        <v>100</v>
      </c>
      <c r="S42" s="44">
        <f t="shared" si="41"/>
        <v>5</v>
      </c>
      <c r="T42" s="41"/>
      <c r="U42" s="7">
        <f t="shared" si="13"/>
        <v>0</v>
      </c>
      <c r="V42" s="23">
        <f>IF(T42="A",0,VLOOKUP(U42,'Transmutation Table'!$A$2:$B$32,2))</f>
        <v>70</v>
      </c>
      <c r="W42" s="7">
        <f t="shared" si="42"/>
        <v>2.3333333333333335</v>
      </c>
      <c r="X42" s="41"/>
      <c r="Y42" s="7">
        <f t="shared" si="43"/>
        <v>0</v>
      </c>
      <c r="Z42" s="23">
        <f>IF(X42="A",0,VLOOKUP(Y42,'Transmutation Table'!$A$2:$B$32,2))</f>
        <v>70</v>
      </c>
      <c r="AA42" s="7">
        <f t="shared" si="44"/>
        <v>2.3333333333333335</v>
      </c>
      <c r="AB42" s="41"/>
      <c r="AC42" s="7">
        <f t="shared" si="17"/>
        <v>0</v>
      </c>
      <c r="AD42" s="23">
        <f>IF(AB42="A",0,VLOOKUP(AC42,'Transmutation Table'!$A$2:$B$32,2))</f>
        <v>70</v>
      </c>
      <c r="AE42" s="7">
        <f t="shared" si="18"/>
        <v>2.3333333333333335</v>
      </c>
      <c r="AF42" s="17">
        <f t="shared" si="19"/>
        <v>7</v>
      </c>
      <c r="AG42" s="41"/>
      <c r="AH42" s="7">
        <f t="shared" si="20"/>
        <v>0</v>
      </c>
      <c r="AI42" s="23">
        <f>IF(AG42="A",0,VLOOKUP(AH42,'Transmutation Table'!$A$2:$B$32,2))</f>
        <v>70</v>
      </c>
      <c r="AJ42" s="7">
        <f t="shared" si="45"/>
        <v>4.666666666666667</v>
      </c>
      <c r="AK42" s="41"/>
      <c r="AL42" s="7">
        <f t="shared" si="22"/>
        <v>0</v>
      </c>
      <c r="AM42" s="23">
        <f>IF(AK42="A",0,VLOOKUP(AL42,'Transmutation Table'!$A$2:$B$32,2))</f>
        <v>70</v>
      </c>
      <c r="AN42" s="7">
        <f t="shared" si="46"/>
        <v>4.666666666666667</v>
      </c>
      <c r="AO42" s="41"/>
      <c r="AP42" s="7">
        <f t="shared" si="24"/>
        <v>0</v>
      </c>
      <c r="AQ42" s="23">
        <f>IF(AO42="A",0,VLOOKUP(AP42,'Transmutation Table'!$A$2:$B$32,2))</f>
        <v>70</v>
      </c>
      <c r="AR42" s="7">
        <f t="shared" si="47"/>
        <v>4.666666666666667</v>
      </c>
      <c r="AS42" s="17">
        <f t="shared" si="1"/>
        <v>14</v>
      </c>
      <c r="AT42" s="7">
        <f t="shared" si="2"/>
        <v>0</v>
      </c>
      <c r="AU42" s="7">
        <f t="shared" si="3"/>
        <v>70</v>
      </c>
      <c r="AV42" s="25">
        <f t="shared" si="4"/>
        <v>26</v>
      </c>
      <c r="AW42" s="41"/>
      <c r="AX42" s="41"/>
      <c r="AY42" s="16">
        <f t="shared" si="48"/>
        <v>0</v>
      </c>
      <c r="AZ42" s="16">
        <f t="shared" si="26"/>
        <v>50</v>
      </c>
      <c r="BA42" s="7">
        <f t="shared" si="27"/>
        <v>2.5</v>
      </c>
      <c r="BB42" s="41"/>
      <c r="BC42" s="7">
        <f t="shared" si="28"/>
        <v>0</v>
      </c>
      <c r="BD42" s="23">
        <f>IF(BB42="A",0,VLOOKUP(BC42,'Transmutation Table'!$A$2:$B$32,2))</f>
        <v>70</v>
      </c>
      <c r="BE42" s="7">
        <f t="shared" si="49"/>
        <v>2.3333333333333335</v>
      </c>
      <c r="BF42" s="41"/>
      <c r="BG42" s="7">
        <f t="shared" si="50"/>
        <v>0</v>
      </c>
      <c r="BH42" s="23">
        <f>IF(BF42="A",0,VLOOKUP(BG42,'Transmutation Table'!$A$2:$B$32,2))</f>
        <v>70</v>
      </c>
      <c r="BI42" s="7">
        <f t="shared" si="51"/>
        <v>2.3333333333333335</v>
      </c>
      <c r="BJ42" s="41"/>
      <c r="BK42" s="7">
        <f>IFERROR(BJ42/#REF!*100,0)</f>
        <v>0</v>
      </c>
      <c r="BL42" s="23">
        <f>IF(BJ42="A",0,VLOOKUP(BK42,'Transmutation Table'!$A$2:$B$32,2))</f>
        <v>70</v>
      </c>
      <c r="BM42" s="7">
        <f t="shared" si="52"/>
        <v>2.3333333333333335</v>
      </c>
      <c r="BN42" s="7">
        <f t="shared" si="53"/>
        <v>7</v>
      </c>
      <c r="BO42" s="7">
        <f t="shared" si="34"/>
        <v>0</v>
      </c>
      <c r="BP42" s="7">
        <f t="shared" si="35"/>
        <v>50</v>
      </c>
      <c r="BQ42" s="13">
        <f t="shared" si="54"/>
        <v>9.5</v>
      </c>
      <c r="BR42" s="7">
        <f t="shared" si="5"/>
        <v>70.5</v>
      </c>
      <c r="BS42" s="23">
        <f>IFERROR(VLOOKUP(BR42,'Transmutation Table'!$B$2:$V$32,2),5)</f>
        <v>5</v>
      </c>
      <c r="BT42" s="19" t="str">
        <f t="shared" si="55"/>
        <v>FAILED</v>
      </c>
    </row>
    <row r="43" spans="1:74" ht="14.4" customHeight="1" x14ac:dyDescent="0.25">
      <c r="A43" s="8">
        <v>30</v>
      </c>
      <c r="B43" s="74" t="s">
        <v>95</v>
      </c>
      <c r="C43" s="75"/>
      <c r="D43" s="47"/>
      <c r="E43" s="14" t="str">
        <f t="shared" si="6"/>
        <v>/10</v>
      </c>
      <c r="F43" s="27">
        <f>IFERROR(VLOOKUP((D43/$F$12)*100,'Transmutation Table'!$A$2:$B$32,2),0)</f>
        <v>70</v>
      </c>
      <c r="G43" s="12">
        <f t="shared" si="7"/>
        <v>35</v>
      </c>
      <c r="H43" s="18"/>
      <c r="I43" s="18"/>
      <c r="J43" s="18"/>
      <c r="K43" s="18"/>
      <c r="L43" s="18"/>
      <c r="M43" s="18"/>
      <c r="N43" s="18"/>
      <c r="O43" s="17">
        <f t="shared" si="8"/>
        <v>0</v>
      </c>
      <c r="P43" s="17">
        <f t="shared" si="38"/>
        <v>0</v>
      </c>
      <c r="Q43" s="7">
        <f t="shared" si="39"/>
        <v>0</v>
      </c>
      <c r="R43" s="7">
        <f t="shared" si="40"/>
        <v>100</v>
      </c>
      <c r="S43" s="44">
        <f t="shared" si="41"/>
        <v>5</v>
      </c>
      <c r="T43" s="41"/>
      <c r="U43" s="7">
        <f t="shared" si="13"/>
        <v>0</v>
      </c>
      <c r="V43" s="23">
        <f>IF(T43="A",0,VLOOKUP(U43,'Transmutation Table'!$A$2:$B$32,2))</f>
        <v>70</v>
      </c>
      <c r="W43" s="7">
        <f t="shared" si="42"/>
        <v>2.3333333333333335</v>
      </c>
      <c r="X43" s="41"/>
      <c r="Y43" s="7">
        <f t="shared" si="43"/>
        <v>0</v>
      </c>
      <c r="Z43" s="23">
        <f>IF(X43="A",0,VLOOKUP(Y43,'Transmutation Table'!$A$2:$B$32,2))</f>
        <v>70</v>
      </c>
      <c r="AA43" s="7">
        <f t="shared" si="44"/>
        <v>2.3333333333333335</v>
      </c>
      <c r="AB43" s="41"/>
      <c r="AC43" s="7">
        <f t="shared" si="17"/>
        <v>0</v>
      </c>
      <c r="AD43" s="23">
        <f>IF(AB43="A",0,VLOOKUP(AC43,'Transmutation Table'!$A$2:$B$32,2))</f>
        <v>70</v>
      </c>
      <c r="AE43" s="7">
        <f t="shared" si="18"/>
        <v>2.3333333333333335</v>
      </c>
      <c r="AF43" s="17">
        <f t="shared" si="19"/>
        <v>7</v>
      </c>
      <c r="AG43" s="41"/>
      <c r="AH43" s="7">
        <f t="shared" si="20"/>
        <v>0</v>
      </c>
      <c r="AI43" s="23">
        <f>IF(AG43="A",0,VLOOKUP(AH43,'Transmutation Table'!$A$2:$B$32,2))</f>
        <v>70</v>
      </c>
      <c r="AJ43" s="7">
        <f t="shared" si="45"/>
        <v>4.666666666666667</v>
      </c>
      <c r="AK43" s="41"/>
      <c r="AL43" s="7">
        <f t="shared" si="22"/>
        <v>0</v>
      </c>
      <c r="AM43" s="23">
        <f>IF(AK43="A",0,VLOOKUP(AL43,'Transmutation Table'!$A$2:$B$32,2))</f>
        <v>70</v>
      </c>
      <c r="AN43" s="7">
        <f t="shared" si="46"/>
        <v>4.666666666666667</v>
      </c>
      <c r="AO43" s="41"/>
      <c r="AP43" s="7">
        <f t="shared" si="24"/>
        <v>0</v>
      </c>
      <c r="AQ43" s="23">
        <f>IF(AO43="A",0,VLOOKUP(AP43,'Transmutation Table'!$A$2:$B$32,2))</f>
        <v>70</v>
      </c>
      <c r="AR43" s="7">
        <f t="shared" si="47"/>
        <v>4.666666666666667</v>
      </c>
      <c r="AS43" s="17">
        <f t="shared" si="1"/>
        <v>14</v>
      </c>
      <c r="AT43" s="7">
        <f t="shared" si="2"/>
        <v>0</v>
      </c>
      <c r="AU43" s="7">
        <f t="shared" si="3"/>
        <v>70</v>
      </c>
      <c r="AV43" s="25">
        <f t="shared" si="4"/>
        <v>26</v>
      </c>
      <c r="AW43" s="41"/>
      <c r="AX43" s="41"/>
      <c r="AY43" s="16">
        <f t="shared" si="48"/>
        <v>0</v>
      </c>
      <c r="AZ43" s="16">
        <f t="shared" si="26"/>
        <v>50</v>
      </c>
      <c r="BA43" s="7">
        <f t="shared" si="27"/>
        <v>2.5</v>
      </c>
      <c r="BB43" s="41"/>
      <c r="BC43" s="7">
        <f t="shared" si="28"/>
        <v>0</v>
      </c>
      <c r="BD43" s="23">
        <f>IF(BB43="A",0,VLOOKUP(BC43,'Transmutation Table'!$A$2:$B$32,2))</f>
        <v>70</v>
      </c>
      <c r="BE43" s="7">
        <f t="shared" si="49"/>
        <v>2.3333333333333335</v>
      </c>
      <c r="BF43" s="41"/>
      <c r="BG43" s="7">
        <f t="shared" si="50"/>
        <v>0</v>
      </c>
      <c r="BH43" s="23">
        <f>IF(BF43="A",0,VLOOKUP(BG43,'Transmutation Table'!$A$2:$B$32,2))</f>
        <v>70</v>
      </c>
      <c r="BI43" s="7">
        <f t="shared" si="51"/>
        <v>2.3333333333333335</v>
      </c>
      <c r="BJ43" s="41"/>
      <c r="BK43" s="7">
        <f>IFERROR(BJ43/#REF!*100,0)</f>
        <v>0</v>
      </c>
      <c r="BL43" s="23">
        <f>IF(BJ43="A",0,VLOOKUP(BK43,'Transmutation Table'!$A$2:$B$32,2))</f>
        <v>70</v>
      </c>
      <c r="BM43" s="7">
        <f t="shared" si="52"/>
        <v>2.3333333333333335</v>
      </c>
      <c r="BN43" s="7">
        <f t="shared" si="53"/>
        <v>7</v>
      </c>
      <c r="BO43" s="7">
        <f t="shared" si="34"/>
        <v>0</v>
      </c>
      <c r="BP43" s="7">
        <f t="shared" si="35"/>
        <v>50</v>
      </c>
      <c r="BQ43" s="13">
        <f t="shared" si="54"/>
        <v>9.5</v>
      </c>
      <c r="BR43" s="7">
        <f t="shared" si="5"/>
        <v>70.5</v>
      </c>
      <c r="BS43" s="23">
        <f>IFERROR(VLOOKUP(BR43,'Transmutation Table'!$B$2:$V$32,2),5)</f>
        <v>5</v>
      </c>
      <c r="BT43" s="19" t="str">
        <f t="shared" si="55"/>
        <v>FAILED</v>
      </c>
    </row>
    <row r="44" spans="1:74" ht="14.4" customHeight="1" x14ac:dyDescent="0.25">
      <c r="A44" s="8">
        <v>31</v>
      </c>
      <c r="B44" s="74" t="s">
        <v>96</v>
      </c>
      <c r="C44" s="75"/>
      <c r="D44" s="47"/>
      <c r="E44" s="14" t="str">
        <f t="shared" si="6"/>
        <v>/10</v>
      </c>
      <c r="F44" s="27">
        <f>IFERROR(VLOOKUP((D44/$F$12)*100,'Transmutation Table'!$A$2:$B$32,2),0)</f>
        <v>70</v>
      </c>
      <c r="G44" s="12">
        <f t="shared" si="7"/>
        <v>35</v>
      </c>
      <c r="H44" s="18"/>
      <c r="I44" s="18"/>
      <c r="J44" s="18"/>
      <c r="K44" s="18"/>
      <c r="L44" s="18"/>
      <c r="M44" s="18"/>
      <c r="N44" s="18"/>
      <c r="O44" s="17">
        <f t="shared" si="8"/>
        <v>0</v>
      </c>
      <c r="P44" s="17">
        <f t="shared" si="38"/>
        <v>0</v>
      </c>
      <c r="Q44" s="7">
        <f t="shared" si="39"/>
        <v>0</v>
      </c>
      <c r="R44" s="7">
        <f t="shared" si="40"/>
        <v>100</v>
      </c>
      <c r="S44" s="44">
        <f t="shared" si="41"/>
        <v>5</v>
      </c>
      <c r="T44" s="41"/>
      <c r="U44" s="7">
        <f t="shared" si="13"/>
        <v>0</v>
      </c>
      <c r="V44" s="23">
        <f>IF(T44="A",0,VLOOKUP(U44,'Transmutation Table'!$A$2:$B$32,2))</f>
        <v>70</v>
      </c>
      <c r="W44" s="7">
        <f t="shared" si="42"/>
        <v>2.3333333333333335</v>
      </c>
      <c r="X44" s="41"/>
      <c r="Y44" s="7">
        <f t="shared" si="43"/>
        <v>0</v>
      </c>
      <c r="Z44" s="23">
        <f>IF(X44="A",0,VLOOKUP(Y44,'Transmutation Table'!$A$2:$B$32,2))</f>
        <v>70</v>
      </c>
      <c r="AA44" s="7">
        <f t="shared" si="44"/>
        <v>2.3333333333333335</v>
      </c>
      <c r="AB44" s="41"/>
      <c r="AC44" s="7">
        <f t="shared" si="17"/>
        <v>0</v>
      </c>
      <c r="AD44" s="23">
        <f>IF(AB44="A",0,VLOOKUP(AC44,'Transmutation Table'!$A$2:$B$32,2))</f>
        <v>70</v>
      </c>
      <c r="AE44" s="7">
        <f t="shared" si="18"/>
        <v>2.3333333333333335</v>
      </c>
      <c r="AF44" s="17">
        <f t="shared" si="19"/>
        <v>7</v>
      </c>
      <c r="AG44" s="41"/>
      <c r="AH44" s="7">
        <f t="shared" si="20"/>
        <v>0</v>
      </c>
      <c r="AI44" s="23">
        <f>IF(AG44="A",0,VLOOKUP(AH44,'Transmutation Table'!$A$2:$B$32,2))</f>
        <v>70</v>
      </c>
      <c r="AJ44" s="7">
        <f t="shared" si="45"/>
        <v>4.666666666666667</v>
      </c>
      <c r="AK44" s="41"/>
      <c r="AL44" s="7">
        <f t="shared" si="22"/>
        <v>0</v>
      </c>
      <c r="AM44" s="23">
        <f>IF(AK44="A",0,VLOOKUP(AL44,'Transmutation Table'!$A$2:$B$32,2))</f>
        <v>70</v>
      </c>
      <c r="AN44" s="7">
        <f t="shared" si="46"/>
        <v>4.666666666666667</v>
      </c>
      <c r="AO44" s="41"/>
      <c r="AP44" s="7">
        <f t="shared" si="24"/>
        <v>0</v>
      </c>
      <c r="AQ44" s="23">
        <f>IF(AO44="A",0,VLOOKUP(AP44,'Transmutation Table'!$A$2:$B$32,2))</f>
        <v>70</v>
      </c>
      <c r="AR44" s="7">
        <f t="shared" si="47"/>
        <v>4.666666666666667</v>
      </c>
      <c r="AS44" s="17">
        <f t="shared" si="1"/>
        <v>14</v>
      </c>
      <c r="AT44" s="7">
        <f t="shared" si="2"/>
        <v>0</v>
      </c>
      <c r="AU44" s="7">
        <f t="shared" si="3"/>
        <v>70</v>
      </c>
      <c r="AV44" s="25">
        <f t="shared" si="4"/>
        <v>26</v>
      </c>
      <c r="AW44" s="41"/>
      <c r="AX44" s="41"/>
      <c r="AY44" s="16">
        <f t="shared" si="48"/>
        <v>0</v>
      </c>
      <c r="AZ44" s="16">
        <f t="shared" si="26"/>
        <v>50</v>
      </c>
      <c r="BA44" s="7">
        <f t="shared" si="27"/>
        <v>2.5</v>
      </c>
      <c r="BB44" s="41"/>
      <c r="BC44" s="7">
        <f t="shared" si="28"/>
        <v>0</v>
      </c>
      <c r="BD44" s="23">
        <f>IF(BB44="A",0,VLOOKUP(BC44,'Transmutation Table'!$A$2:$B$32,2))</f>
        <v>70</v>
      </c>
      <c r="BE44" s="7">
        <f t="shared" si="49"/>
        <v>2.3333333333333335</v>
      </c>
      <c r="BF44" s="41"/>
      <c r="BG44" s="7">
        <f t="shared" si="50"/>
        <v>0</v>
      </c>
      <c r="BH44" s="23">
        <f>IF(BF44="A",0,VLOOKUP(BG44,'Transmutation Table'!$A$2:$B$32,2))</f>
        <v>70</v>
      </c>
      <c r="BI44" s="7">
        <f t="shared" si="51"/>
        <v>2.3333333333333335</v>
      </c>
      <c r="BJ44" s="41"/>
      <c r="BK44" s="7">
        <f>IFERROR(BJ44/#REF!*100,0)</f>
        <v>0</v>
      </c>
      <c r="BL44" s="23">
        <f>IF(BJ44="A",0,VLOOKUP(BK44,'Transmutation Table'!$A$2:$B$32,2))</f>
        <v>70</v>
      </c>
      <c r="BM44" s="7">
        <f t="shared" si="52"/>
        <v>2.3333333333333335</v>
      </c>
      <c r="BN44" s="7">
        <f t="shared" si="53"/>
        <v>7</v>
      </c>
      <c r="BO44" s="7">
        <f t="shared" si="34"/>
        <v>0</v>
      </c>
      <c r="BP44" s="7">
        <f t="shared" si="35"/>
        <v>50</v>
      </c>
      <c r="BQ44" s="13">
        <f t="shared" si="54"/>
        <v>9.5</v>
      </c>
      <c r="BR44" s="7">
        <f t="shared" si="5"/>
        <v>70.5</v>
      </c>
      <c r="BS44" s="23">
        <f>IFERROR(VLOOKUP(BR44,'Transmutation Table'!$B$2:$V$32,2),5)</f>
        <v>5</v>
      </c>
      <c r="BT44" s="19" t="str">
        <f t="shared" si="55"/>
        <v>FAILED</v>
      </c>
    </row>
    <row r="45" spans="1:74" ht="14.4" customHeight="1" x14ac:dyDescent="0.25">
      <c r="A45" s="8">
        <v>32</v>
      </c>
      <c r="B45" s="74" t="s">
        <v>97</v>
      </c>
      <c r="C45" s="75"/>
      <c r="D45" s="47"/>
      <c r="E45" s="14" t="str">
        <f t="shared" si="6"/>
        <v>/10</v>
      </c>
      <c r="F45" s="27">
        <f>IFERROR(VLOOKUP((D45/$F$12)*100,'Transmutation Table'!$A$2:$B$32,2),0)</f>
        <v>70</v>
      </c>
      <c r="G45" s="12">
        <f t="shared" si="7"/>
        <v>35</v>
      </c>
      <c r="H45" s="18"/>
      <c r="I45" s="18"/>
      <c r="J45" s="18"/>
      <c r="K45" s="18"/>
      <c r="L45" s="18"/>
      <c r="M45" s="18"/>
      <c r="N45" s="18"/>
      <c r="O45" s="17">
        <f t="shared" si="8"/>
        <v>0</v>
      </c>
      <c r="P45" s="17">
        <f t="shared" si="38"/>
        <v>0</v>
      </c>
      <c r="Q45" s="7">
        <f t="shared" si="39"/>
        <v>0</v>
      </c>
      <c r="R45" s="7">
        <f t="shared" si="40"/>
        <v>100</v>
      </c>
      <c r="S45" s="44">
        <f t="shared" si="41"/>
        <v>5</v>
      </c>
      <c r="T45" s="41"/>
      <c r="U45" s="7">
        <f t="shared" si="13"/>
        <v>0</v>
      </c>
      <c r="V45" s="23">
        <f>IF(T45="A",0,VLOOKUP(U45,'Transmutation Table'!$A$2:$B$32,2))</f>
        <v>70</v>
      </c>
      <c r="W45" s="7">
        <f t="shared" si="42"/>
        <v>2.3333333333333335</v>
      </c>
      <c r="X45" s="41"/>
      <c r="Y45" s="7">
        <f t="shared" si="43"/>
        <v>0</v>
      </c>
      <c r="Z45" s="23">
        <f>IF(X45="A",0,VLOOKUP(Y45,'Transmutation Table'!$A$2:$B$32,2))</f>
        <v>70</v>
      </c>
      <c r="AA45" s="7">
        <f t="shared" si="44"/>
        <v>2.3333333333333335</v>
      </c>
      <c r="AB45" s="41"/>
      <c r="AC45" s="7">
        <f t="shared" si="17"/>
        <v>0</v>
      </c>
      <c r="AD45" s="23">
        <f>IF(AB45="A",0,VLOOKUP(AC45,'Transmutation Table'!$A$2:$B$32,2))</f>
        <v>70</v>
      </c>
      <c r="AE45" s="7">
        <f t="shared" si="18"/>
        <v>2.3333333333333335</v>
      </c>
      <c r="AF45" s="17">
        <f t="shared" si="19"/>
        <v>7</v>
      </c>
      <c r="AG45" s="41"/>
      <c r="AH45" s="7">
        <f t="shared" si="20"/>
        <v>0</v>
      </c>
      <c r="AI45" s="23">
        <f>IF(AG45="A",0,VLOOKUP(AH45,'Transmutation Table'!$A$2:$B$32,2))</f>
        <v>70</v>
      </c>
      <c r="AJ45" s="7">
        <f t="shared" si="45"/>
        <v>4.666666666666667</v>
      </c>
      <c r="AK45" s="41"/>
      <c r="AL45" s="7">
        <f t="shared" si="22"/>
        <v>0</v>
      </c>
      <c r="AM45" s="23">
        <f>IF(AK45="A",0,VLOOKUP(AL45,'Transmutation Table'!$A$2:$B$32,2))</f>
        <v>70</v>
      </c>
      <c r="AN45" s="7">
        <f t="shared" si="46"/>
        <v>4.666666666666667</v>
      </c>
      <c r="AO45" s="41"/>
      <c r="AP45" s="7">
        <f t="shared" si="24"/>
        <v>0</v>
      </c>
      <c r="AQ45" s="23">
        <f>IF(AO45="A",0,VLOOKUP(AP45,'Transmutation Table'!$A$2:$B$32,2))</f>
        <v>70</v>
      </c>
      <c r="AR45" s="7">
        <f t="shared" si="47"/>
        <v>4.666666666666667</v>
      </c>
      <c r="AS45" s="17">
        <f t="shared" si="1"/>
        <v>14</v>
      </c>
      <c r="AT45" s="7">
        <f t="shared" si="2"/>
        <v>0</v>
      </c>
      <c r="AU45" s="7">
        <f t="shared" si="3"/>
        <v>70</v>
      </c>
      <c r="AV45" s="25">
        <f t="shared" si="4"/>
        <v>26</v>
      </c>
      <c r="AW45" s="41"/>
      <c r="AX45" s="41"/>
      <c r="AY45" s="16">
        <f t="shared" si="48"/>
        <v>0</v>
      </c>
      <c r="AZ45" s="16">
        <f t="shared" si="26"/>
        <v>50</v>
      </c>
      <c r="BA45" s="7">
        <f t="shared" si="27"/>
        <v>2.5</v>
      </c>
      <c r="BB45" s="41"/>
      <c r="BC45" s="7">
        <f t="shared" si="28"/>
        <v>0</v>
      </c>
      <c r="BD45" s="23">
        <f>IF(BB45="A",0,VLOOKUP(BC45,'Transmutation Table'!$A$2:$B$32,2))</f>
        <v>70</v>
      </c>
      <c r="BE45" s="7">
        <f t="shared" si="49"/>
        <v>2.3333333333333335</v>
      </c>
      <c r="BF45" s="41"/>
      <c r="BG45" s="7">
        <f t="shared" si="50"/>
        <v>0</v>
      </c>
      <c r="BH45" s="23">
        <f>IF(BF45="A",0,VLOOKUP(BG45,'Transmutation Table'!$A$2:$B$32,2))</f>
        <v>70</v>
      </c>
      <c r="BI45" s="7">
        <f t="shared" si="51"/>
        <v>2.3333333333333335</v>
      </c>
      <c r="BJ45" s="41"/>
      <c r="BK45" s="7">
        <f>IFERROR(BJ45/#REF!*100,0)</f>
        <v>0</v>
      </c>
      <c r="BL45" s="23">
        <f>IF(BJ45="A",0,VLOOKUP(BK45,'Transmutation Table'!$A$2:$B$32,2))</f>
        <v>70</v>
      </c>
      <c r="BM45" s="7">
        <f t="shared" si="52"/>
        <v>2.3333333333333335</v>
      </c>
      <c r="BN45" s="7">
        <f t="shared" si="53"/>
        <v>7</v>
      </c>
      <c r="BO45" s="7">
        <f t="shared" si="34"/>
        <v>0</v>
      </c>
      <c r="BP45" s="7">
        <f t="shared" si="35"/>
        <v>50</v>
      </c>
      <c r="BQ45" s="13">
        <f t="shared" si="54"/>
        <v>9.5</v>
      </c>
      <c r="BR45" s="7">
        <f t="shared" si="5"/>
        <v>70.5</v>
      </c>
      <c r="BS45" s="23">
        <f>IFERROR(VLOOKUP(BR45,'Transmutation Table'!$B$2:$V$32,2),5)</f>
        <v>5</v>
      </c>
      <c r="BT45" s="19" t="str">
        <f t="shared" si="55"/>
        <v>FAILED</v>
      </c>
    </row>
    <row r="46" spans="1:74" x14ac:dyDescent="0.25">
      <c r="A46" s="8">
        <v>33</v>
      </c>
      <c r="B46" s="74" t="s">
        <v>98</v>
      </c>
      <c r="C46" s="75"/>
      <c r="D46" s="47"/>
      <c r="E46" s="14" t="str">
        <f t="shared" si="6"/>
        <v>/10</v>
      </c>
      <c r="F46" s="27">
        <f>IFERROR(VLOOKUP((D46/$F$12)*100,'Transmutation Table'!$A$2:$B$32,2),0)</f>
        <v>70</v>
      </c>
      <c r="G46" s="12">
        <f t="shared" si="7"/>
        <v>35</v>
      </c>
      <c r="H46" s="18"/>
      <c r="I46" s="18"/>
      <c r="J46" s="18"/>
      <c r="K46" s="18"/>
      <c r="L46" s="18"/>
      <c r="M46" s="18"/>
      <c r="N46" s="18"/>
      <c r="O46" s="17">
        <f t="shared" si="8"/>
        <v>0</v>
      </c>
      <c r="P46" s="17">
        <f t="shared" si="38"/>
        <v>0</v>
      </c>
      <c r="Q46" s="7">
        <f t="shared" si="39"/>
        <v>0</v>
      </c>
      <c r="R46" s="7">
        <f t="shared" si="40"/>
        <v>100</v>
      </c>
      <c r="S46" s="44">
        <f t="shared" si="41"/>
        <v>5</v>
      </c>
      <c r="T46" s="41"/>
      <c r="U46" s="7">
        <f t="shared" si="13"/>
        <v>0</v>
      </c>
      <c r="V46" s="23">
        <f>IF(T46="A",0,VLOOKUP(U46,'Transmutation Table'!$A$2:$B$32,2))</f>
        <v>70</v>
      </c>
      <c r="W46" s="7">
        <f t="shared" si="42"/>
        <v>2.3333333333333335</v>
      </c>
      <c r="X46" s="41"/>
      <c r="Y46" s="7">
        <f t="shared" si="43"/>
        <v>0</v>
      </c>
      <c r="Z46" s="23">
        <f>IF(X46="A",0,VLOOKUP(Y46,'Transmutation Table'!$A$2:$B$32,2))</f>
        <v>70</v>
      </c>
      <c r="AA46" s="7">
        <f t="shared" si="44"/>
        <v>2.3333333333333335</v>
      </c>
      <c r="AB46" s="41"/>
      <c r="AC46" s="7">
        <f t="shared" si="17"/>
        <v>0</v>
      </c>
      <c r="AD46" s="23">
        <f>IF(AB46="A",0,VLOOKUP(AC46,'Transmutation Table'!$A$2:$B$32,2))</f>
        <v>70</v>
      </c>
      <c r="AE46" s="7">
        <f t="shared" si="18"/>
        <v>2.3333333333333335</v>
      </c>
      <c r="AF46" s="17">
        <f t="shared" si="19"/>
        <v>7</v>
      </c>
      <c r="AG46" s="41"/>
      <c r="AH46" s="7">
        <f t="shared" si="20"/>
        <v>0</v>
      </c>
      <c r="AI46" s="23">
        <f>IF(AG46="A",0,VLOOKUP(AH46,'Transmutation Table'!$A$2:$B$32,2))</f>
        <v>70</v>
      </c>
      <c r="AJ46" s="7">
        <f t="shared" si="45"/>
        <v>4.666666666666667</v>
      </c>
      <c r="AK46" s="41"/>
      <c r="AL46" s="7">
        <f t="shared" si="22"/>
        <v>0</v>
      </c>
      <c r="AM46" s="23">
        <f>IF(AK46="A",0,VLOOKUP(AL46,'Transmutation Table'!$A$2:$B$32,2))</f>
        <v>70</v>
      </c>
      <c r="AN46" s="7">
        <f t="shared" si="46"/>
        <v>4.666666666666667</v>
      </c>
      <c r="AO46" s="41"/>
      <c r="AP46" s="7">
        <f t="shared" si="24"/>
        <v>0</v>
      </c>
      <c r="AQ46" s="23">
        <f>IF(AO46="A",0,VLOOKUP(AP46,'Transmutation Table'!$A$2:$B$32,2))</f>
        <v>70</v>
      </c>
      <c r="AR46" s="7">
        <f t="shared" si="47"/>
        <v>4.666666666666667</v>
      </c>
      <c r="AS46" s="17">
        <f t="shared" si="1"/>
        <v>14</v>
      </c>
      <c r="AT46" s="7">
        <f t="shared" si="2"/>
        <v>0</v>
      </c>
      <c r="AU46" s="7">
        <f t="shared" si="3"/>
        <v>70</v>
      </c>
      <c r="AV46" s="25">
        <f t="shared" si="4"/>
        <v>26</v>
      </c>
      <c r="AW46" s="41"/>
      <c r="AX46" s="41"/>
      <c r="AY46" s="16">
        <f t="shared" si="48"/>
        <v>0</v>
      </c>
      <c r="AZ46" s="16">
        <f t="shared" si="26"/>
        <v>50</v>
      </c>
      <c r="BA46" s="7">
        <f t="shared" si="27"/>
        <v>2.5</v>
      </c>
      <c r="BB46" s="41"/>
      <c r="BC46" s="7">
        <f t="shared" si="28"/>
        <v>0</v>
      </c>
      <c r="BD46" s="23">
        <f>IF(BB46="A",0,VLOOKUP(BC46,'Transmutation Table'!$A$2:$B$32,2))</f>
        <v>70</v>
      </c>
      <c r="BE46" s="7">
        <f t="shared" si="49"/>
        <v>2.3333333333333335</v>
      </c>
      <c r="BF46" s="41"/>
      <c r="BG46" s="7">
        <f t="shared" si="50"/>
        <v>0</v>
      </c>
      <c r="BH46" s="23">
        <f>IF(BF46="A",0,VLOOKUP(BG46,'Transmutation Table'!$A$2:$B$32,2))</f>
        <v>70</v>
      </c>
      <c r="BI46" s="7">
        <f t="shared" si="51"/>
        <v>2.3333333333333335</v>
      </c>
      <c r="BJ46" s="41"/>
      <c r="BK46" s="7">
        <f>IFERROR(BJ46/#REF!*100,0)</f>
        <v>0</v>
      </c>
      <c r="BL46" s="23">
        <f>IF(BJ46="A",0,VLOOKUP(BK46,'Transmutation Table'!$A$2:$B$32,2))</f>
        <v>70</v>
      </c>
      <c r="BM46" s="7">
        <f t="shared" si="52"/>
        <v>2.3333333333333335</v>
      </c>
      <c r="BN46" s="7">
        <f t="shared" si="53"/>
        <v>7</v>
      </c>
      <c r="BO46" s="7">
        <f t="shared" si="34"/>
        <v>0</v>
      </c>
      <c r="BP46" s="7">
        <f t="shared" si="35"/>
        <v>50</v>
      </c>
      <c r="BQ46" s="13">
        <f t="shared" si="54"/>
        <v>9.5</v>
      </c>
      <c r="BR46" s="7">
        <f t="shared" si="5"/>
        <v>70.5</v>
      </c>
      <c r="BS46" s="23">
        <f>IFERROR(VLOOKUP(BR46,'Transmutation Table'!$B$2:$V$32,2),5)</f>
        <v>5</v>
      </c>
      <c r="BT46" s="19" t="str">
        <f t="shared" si="55"/>
        <v>FAILED</v>
      </c>
    </row>
    <row r="47" spans="1:74" x14ac:dyDescent="0.25">
      <c r="A47" s="8">
        <v>34</v>
      </c>
      <c r="B47" s="74" t="s">
        <v>99</v>
      </c>
      <c r="C47" s="75"/>
      <c r="D47" s="47"/>
      <c r="E47" s="14" t="str">
        <f t="shared" si="6"/>
        <v>/10</v>
      </c>
      <c r="F47" s="27">
        <f>IFERROR(VLOOKUP((D47/$F$12)*100,'Transmutation Table'!$A$2:$B$32,2),0)</f>
        <v>70</v>
      </c>
      <c r="G47" s="12">
        <f t="shared" si="7"/>
        <v>35</v>
      </c>
      <c r="H47" s="18"/>
      <c r="I47" s="18"/>
      <c r="J47" s="18"/>
      <c r="K47" s="18"/>
      <c r="L47" s="18"/>
      <c r="M47" s="18"/>
      <c r="N47" s="18"/>
      <c r="O47" s="17">
        <f t="shared" si="8"/>
        <v>0</v>
      </c>
      <c r="P47" s="17">
        <f t="shared" si="38"/>
        <v>0</v>
      </c>
      <c r="Q47" s="7">
        <f t="shared" si="39"/>
        <v>0</v>
      </c>
      <c r="R47" s="7">
        <f t="shared" si="40"/>
        <v>100</v>
      </c>
      <c r="S47" s="44">
        <f t="shared" si="41"/>
        <v>5</v>
      </c>
      <c r="T47" s="41"/>
      <c r="U47" s="7">
        <f t="shared" si="13"/>
        <v>0</v>
      </c>
      <c r="V47" s="23">
        <f>IF(T47="A",0,VLOOKUP(U47,'Transmutation Table'!$A$2:$B$32,2))</f>
        <v>70</v>
      </c>
      <c r="W47" s="7">
        <f t="shared" si="42"/>
        <v>2.3333333333333335</v>
      </c>
      <c r="X47" s="41"/>
      <c r="Y47" s="7">
        <f t="shared" si="43"/>
        <v>0</v>
      </c>
      <c r="Z47" s="23">
        <f>IF(X47="A",0,VLOOKUP(Y47,'Transmutation Table'!$A$2:$B$32,2))</f>
        <v>70</v>
      </c>
      <c r="AA47" s="7">
        <f t="shared" si="44"/>
        <v>2.3333333333333335</v>
      </c>
      <c r="AB47" s="41"/>
      <c r="AC47" s="7">
        <f t="shared" si="17"/>
        <v>0</v>
      </c>
      <c r="AD47" s="23">
        <f>IF(AB47="A",0,VLOOKUP(AC47,'Transmutation Table'!$A$2:$B$32,2))</f>
        <v>70</v>
      </c>
      <c r="AE47" s="7">
        <f t="shared" si="18"/>
        <v>2.3333333333333335</v>
      </c>
      <c r="AF47" s="17">
        <f t="shared" si="19"/>
        <v>7</v>
      </c>
      <c r="AG47" s="41"/>
      <c r="AH47" s="7">
        <f t="shared" si="20"/>
        <v>0</v>
      </c>
      <c r="AI47" s="23">
        <f>IF(AG47="A",0,VLOOKUP(AH47,'Transmutation Table'!$A$2:$B$32,2))</f>
        <v>70</v>
      </c>
      <c r="AJ47" s="7">
        <f t="shared" si="45"/>
        <v>4.666666666666667</v>
      </c>
      <c r="AK47" s="41"/>
      <c r="AL47" s="7">
        <f t="shared" si="22"/>
        <v>0</v>
      </c>
      <c r="AM47" s="23">
        <f>IF(AK47="A",0,VLOOKUP(AL47,'Transmutation Table'!$A$2:$B$32,2))</f>
        <v>70</v>
      </c>
      <c r="AN47" s="7">
        <f t="shared" si="46"/>
        <v>4.666666666666667</v>
      </c>
      <c r="AO47" s="41"/>
      <c r="AP47" s="7">
        <f t="shared" si="24"/>
        <v>0</v>
      </c>
      <c r="AQ47" s="23">
        <f>IF(AO47="A",0,VLOOKUP(AP47,'Transmutation Table'!$A$2:$B$32,2))</f>
        <v>70</v>
      </c>
      <c r="AR47" s="7">
        <f t="shared" si="47"/>
        <v>4.666666666666667</v>
      </c>
      <c r="AS47" s="17">
        <f t="shared" si="1"/>
        <v>14</v>
      </c>
      <c r="AT47" s="7">
        <f t="shared" si="2"/>
        <v>0</v>
      </c>
      <c r="AU47" s="7">
        <f t="shared" si="3"/>
        <v>70</v>
      </c>
      <c r="AV47" s="25">
        <f t="shared" si="4"/>
        <v>26</v>
      </c>
      <c r="AW47" s="41"/>
      <c r="AX47" s="41"/>
      <c r="AY47" s="16">
        <f t="shared" si="48"/>
        <v>0</v>
      </c>
      <c r="AZ47" s="16">
        <f t="shared" si="26"/>
        <v>50</v>
      </c>
      <c r="BA47" s="7">
        <f t="shared" si="27"/>
        <v>2.5</v>
      </c>
      <c r="BB47" s="41"/>
      <c r="BC47" s="7">
        <f t="shared" si="28"/>
        <v>0</v>
      </c>
      <c r="BD47" s="23">
        <f>IF(BB47="A",0,VLOOKUP(BC47,'Transmutation Table'!$A$2:$B$32,2))</f>
        <v>70</v>
      </c>
      <c r="BE47" s="7">
        <f t="shared" si="49"/>
        <v>2.3333333333333335</v>
      </c>
      <c r="BF47" s="41"/>
      <c r="BG47" s="7">
        <f t="shared" si="50"/>
        <v>0</v>
      </c>
      <c r="BH47" s="23">
        <f>IF(BF47="A",0,VLOOKUP(BG47,'Transmutation Table'!$A$2:$B$32,2))</f>
        <v>70</v>
      </c>
      <c r="BI47" s="7">
        <f t="shared" si="51"/>
        <v>2.3333333333333335</v>
      </c>
      <c r="BJ47" s="41"/>
      <c r="BK47" s="7">
        <f>IFERROR(BJ47/#REF!*100,0)</f>
        <v>0</v>
      </c>
      <c r="BL47" s="23">
        <f>IF(BJ47="A",0,VLOOKUP(BK47,'Transmutation Table'!$A$2:$B$32,2))</f>
        <v>70</v>
      </c>
      <c r="BM47" s="7">
        <f t="shared" si="52"/>
        <v>2.3333333333333335</v>
      </c>
      <c r="BN47" s="7">
        <f t="shared" si="53"/>
        <v>7</v>
      </c>
      <c r="BO47" s="7">
        <f t="shared" si="34"/>
        <v>0</v>
      </c>
      <c r="BP47" s="7">
        <f t="shared" si="35"/>
        <v>50</v>
      </c>
      <c r="BQ47" s="13">
        <f t="shared" si="54"/>
        <v>9.5</v>
      </c>
      <c r="BR47" s="7">
        <f t="shared" si="5"/>
        <v>70.5</v>
      </c>
      <c r="BS47" s="23">
        <f>IFERROR(VLOOKUP(BR47,'Transmutation Table'!$B$2:$V$32,2),5)</f>
        <v>5</v>
      </c>
      <c r="BT47" s="19" t="str">
        <f t="shared" si="55"/>
        <v>FAILED</v>
      </c>
    </row>
    <row r="48" spans="1:74" x14ac:dyDescent="0.25">
      <c r="A48" s="8">
        <v>35</v>
      </c>
      <c r="B48" s="74" t="s">
        <v>100</v>
      </c>
      <c r="C48" s="75"/>
      <c r="D48" s="47"/>
      <c r="E48" s="14" t="str">
        <f t="shared" si="6"/>
        <v>/10</v>
      </c>
      <c r="F48" s="27">
        <f>IFERROR(VLOOKUP((D48/$F$12)*100,'Transmutation Table'!$A$2:$B$32,2),0)</f>
        <v>70</v>
      </c>
      <c r="G48" s="12">
        <f t="shared" si="7"/>
        <v>35</v>
      </c>
      <c r="H48" s="18"/>
      <c r="I48" s="18"/>
      <c r="J48" s="18"/>
      <c r="K48" s="18"/>
      <c r="L48" s="18"/>
      <c r="M48" s="18"/>
      <c r="N48" s="18"/>
      <c r="O48" s="17">
        <f t="shared" si="8"/>
        <v>0</v>
      </c>
      <c r="P48" s="17">
        <f t="shared" si="38"/>
        <v>0</v>
      </c>
      <c r="Q48" s="7">
        <f t="shared" si="39"/>
        <v>0</v>
      </c>
      <c r="R48" s="7">
        <f t="shared" si="40"/>
        <v>100</v>
      </c>
      <c r="S48" s="44">
        <f t="shared" si="41"/>
        <v>5</v>
      </c>
      <c r="T48" s="41"/>
      <c r="U48" s="7">
        <f t="shared" si="13"/>
        <v>0</v>
      </c>
      <c r="V48" s="23">
        <f>IF(T48="A",0,VLOOKUP(U48,'Transmutation Table'!$A$2:$B$32,2))</f>
        <v>70</v>
      </c>
      <c r="W48" s="7">
        <f t="shared" si="42"/>
        <v>2.3333333333333335</v>
      </c>
      <c r="X48" s="41"/>
      <c r="Y48" s="7">
        <f t="shared" si="43"/>
        <v>0</v>
      </c>
      <c r="Z48" s="23">
        <f>IF(X48="A",0,VLOOKUP(Y48,'Transmutation Table'!$A$2:$B$32,2))</f>
        <v>70</v>
      </c>
      <c r="AA48" s="7">
        <f t="shared" si="44"/>
        <v>2.3333333333333335</v>
      </c>
      <c r="AB48" s="41"/>
      <c r="AC48" s="7">
        <f t="shared" si="17"/>
        <v>0</v>
      </c>
      <c r="AD48" s="23">
        <f>IF(AB48="A",0,VLOOKUP(AC48,'Transmutation Table'!$A$2:$B$32,2))</f>
        <v>70</v>
      </c>
      <c r="AE48" s="7">
        <f t="shared" si="18"/>
        <v>2.3333333333333335</v>
      </c>
      <c r="AF48" s="17">
        <f t="shared" si="19"/>
        <v>7</v>
      </c>
      <c r="AG48" s="41"/>
      <c r="AH48" s="7">
        <f t="shared" si="20"/>
        <v>0</v>
      </c>
      <c r="AI48" s="23">
        <f>IF(AG48="A",0,VLOOKUP(AH48,'Transmutation Table'!$A$2:$B$32,2))</f>
        <v>70</v>
      </c>
      <c r="AJ48" s="7">
        <f t="shared" si="45"/>
        <v>4.666666666666667</v>
      </c>
      <c r="AK48" s="41"/>
      <c r="AL48" s="7">
        <f t="shared" si="22"/>
        <v>0</v>
      </c>
      <c r="AM48" s="23">
        <f>IF(AK48="A",0,VLOOKUP(AL48,'Transmutation Table'!$A$2:$B$32,2))</f>
        <v>70</v>
      </c>
      <c r="AN48" s="7">
        <f t="shared" si="46"/>
        <v>4.666666666666667</v>
      </c>
      <c r="AO48" s="41"/>
      <c r="AP48" s="7">
        <f t="shared" si="24"/>
        <v>0</v>
      </c>
      <c r="AQ48" s="23">
        <f>IF(AO48="A",0,VLOOKUP(AP48,'Transmutation Table'!$A$2:$B$32,2))</f>
        <v>70</v>
      </c>
      <c r="AR48" s="7">
        <f t="shared" si="47"/>
        <v>4.666666666666667</v>
      </c>
      <c r="AS48" s="17">
        <f t="shared" si="1"/>
        <v>14</v>
      </c>
      <c r="AT48" s="7">
        <f t="shared" si="2"/>
        <v>0</v>
      </c>
      <c r="AU48" s="7">
        <f t="shared" si="3"/>
        <v>70</v>
      </c>
      <c r="AV48" s="25">
        <f t="shared" si="4"/>
        <v>26</v>
      </c>
      <c r="AW48" s="41"/>
      <c r="AX48" s="41"/>
      <c r="AY48" s="16">
        <f t="shared" si="48"/>
        <v>0</v>
      </c>
      <c r="AZ48" s="16">
        <f t="shared" si="26"/>
        <v>50</v>
      </c>
      <c r="BA48" s="7">
        <f t="shared" si="27"/>
        <v>2.5</v>
      </c>
      <c r="BB48" s="41"/>
      <c r="BC48" s="7">
        <f t="shared" si="28"/>
        <v>0</v>
      </c>
      <c r="BD48" s="23">
        <f>IF(BB48="A",0,VLOOKUP(BC48,'Transmutation Table'!$A$2:$B$32,2))</f>
        <v>70</v>
      </c>
      <c r="BE48" s="7">
        <f t="shared" si="49"/>
        <v>2.3333333333333335</v>
      </c>
      <c r="BF48" s="41"/>
      <c r="BG48" s="7">
        <f t="shared" si="50"/>
        <v>0</v>
      </c>
      <c r="BH48" s="23">
        <f>IF(BF48="A",0,VLOOKUP(BG48,'Transmutation Table'!$A$2:$B$32,2))</f>
        <v>70</v>
      </c>
      <c r="BI48" s="7">
        <f t="shared" si="51"/>
        <v>2.3333333333333335</v>
      </c>
      <c r="BJ48" s="41"/>
      <c r="BK48" s="7">
        <f>IFERROR(BJ48/#REF!*100,0)</f>
        <v>0</v>
      </c>
      <c r="BL48" s="23">
        <f>IF(BJ48="A",0,VLOOKUP(BK48,'Transmutation Table'!$A$2:$B$32,2))</f>
        <v>70</v>
      </c>
      <c r="BM48" s="7">
        <f t="shared" si="52"/>
        <v>2.3333333333333335</v>
      </c>
      <c r="BN48" s="7">
        <f t="shared" si="53"/>
        <v>7</v>
      </c>
      <c r="BO48" s="7">
        <f t="shared" si="34"/>
        <v>0</v>
      </c>
      <c r="BP48" s="7">
        <f t="shared" si="35"/>
        <v>50</v>
      </c>
      <c r="BQ48" s="13">
        <f t="shared" si="54"/>
        <v>9.5</v>
      </c>
      <c r="BR48" s="7">
        <f t="shared" si="5"/>
        <v>70.5</v>
      </c>
      <c r="BS48" s="23">
        <f>IFERROR(VLOOKUP(BR48,'Transmutation Table'!$B$2:$V$32,2),5)</f>
        <v>5</v>
      </c>
      <c r="BT48" s="19" t="str">
        <f t="shared" si="55"/>
        <v>FAILED</v>
      </c>
    </row>
    <row r="49" spans="1:72" x14ac:dyDescent="0.25">
      <c r="A49" s="8">
        <v>36</v>
      </c>
      <c r="B49" s="74" t="s">
        <v>101</v>
      </c>
      <c r="C49" s="75"/>
      <c r="D49" s="47"/>
      <c r="E49" s="14" t="str">
        <f t="shared" si="6"/>
        <v>/10</v>
      </c>
      <c r="F49" s="27">
        <f>IFERROR(VLOOKUP((D49/$F$12)*100,'Transmutation Table'!$A$2:$B$32,2),0)</f>
        <v>70</v>
      </c>
      <c r="G49" s="12">
        <f t="shared" si="7"/>
        <v>35</v>
      </c>
      <c r="H49" s="18"/>
      <c r="I49" s="18"/>
      <c r="J49" s="18"/>
      <c r="K49" s="18"/>
      <c r="L49" s="18"/>
      <c r="M49" s="18"/>
      <c r="N49" s="18"/>
      <c r="O49" s="17">
        <f t="shared" si="8"/>
        <v>0</v>
      </c>
      <c r="P49" s="17">
        <f t="shared" si="38"/>
        <v>0</v>
      </c>
      <c r="Q49" s="7">
        <f t="shared" si="39"/>
        <v>0</v>
      </c>
      <c r="R49" s="7">
        <f t="shared" si="40"/>
        <v>100</v>
      </c>
      <c r="S49" s="44">
        <f t="shared" si="41"/>
        <v>5</v>
      </c>
      <c r="T49" s="41"/>
      <c r="U49" s="7">
        <f t="shared" si="13"/>
        <v>0</v>
      </c>
      <c r="V49" s="23">
        <f>IF(T49="A",0,VLOOKUP(U49,'Transmutation Table'!$A$2:$B$32,2))</f>
        <v>70</v>
      </c>
      <c r="W49" s="7">
        <f t="shared" si="42"/>
        <v>2.3333333333333335</v>
      </c>
      <c r="X49" s="41"/>
      <c r="Y49" s="7">
        <f t="shared" si="43"/>
        <v>0</v>
      </c>
      <c r="Z49" s="23">
        <f>IF(X49="A",0,VLOOKUP(Y49,'Transmutation Table'!$A$2:$B$32,2))</f>
        <v>70</v>
      </c>
      <c r="AA49" s="7">
        <f t="shared" si="44"/>
        <v>2.3333333333333335</v>
      </c>
      <c r="AB49" s="41"/>
      <c r="AC49" s="7">
        <f t="shared" si="17"/>
        <v>0</v>
      </c>
      <c r="AD49" s="23">
        <f>IF(AB49="A",0,VLOOKUP(AC49,'Transmutation Table'!$A$2:$B$32,2))</f>
        <v>70</v>
      </c>
      <c r="AE49" s="7">
        <f t="shared" si="18"/>
        <v>2.3333333333333335</v>
      </c>
      <c r="AF49" s="17">
        <f t="shared" si="19"/>
        <v>7</v>
      </c>
      <c r="AG49" s="41"/>
      <c r="AH49" s="7">
        <f t="shared" si="20"/>
        <v>0</v>
      </c>
      <c r="AI49" s="23">
        <f>IF(AG49="A",0,VLOOKUP(AH49,'Transmutation Table'!$A$2:$B$32,2))</f>
        <v>70</v>
      </c>
      <c r="AJ49" s="7">
        <f t="shared" si="45"/>
        <v>4.666666666666667</v>
      </c>
      <c r="AK49" s="41"/>
      <c r="AL49" s="7">
        <f t="shared" si="22"/>
        <v>0</v>
      </c>
      <c r="AM49" s="23">
        <f>IF(AK49="A",0,VLOOKUP(AL49,'Transmutation Table'!$A$2:$B$32,2))</f>
        <v>70</v>
      </c>
      <c r="AN49" s="7">
        <f t="shared" si="46"/>
        <v>4.666666666666667</v>
      </c>
      <c r="AO49" s="41"/>
      <c r="AP49" s="7">
        <f t="shared" si="24"/>
        <v>0</v>
      </c>
      <c r="AQ49" s="23">
        <f>IF(AO49="A",0,VLOOKUP(AP49,'Transmutation Table'!$A$2:$B$32,2))</f>
        <v>70</v>
      </c>
      <c r="AR49" s="7">
        <f t="shared" si="47"/>
        <v>4.666666666666667</v>
      </c>
      <c r="AS49" s="17">
        <f t="shared" si="1"/>
        <v>14</v>
      </c>
      <c r="AT49" s="7">
        <f t="shared" si="2"/>
        <v>0</v>
      </c>
      <c r="AU49" s="7">
        <f t="shared" si="3"/>
        <v>70</v>
      </c>
      <c r="AV49" s="25">
        <f t="shared" si="4"/>
        <v>26</v>
      </c>
      <c r="AW49" s="41"/>
      <c r="AX49" s="41"/>
      <c r="AY49" s="16">
        <f t="shared" si="48"/>
        <v>0</v>
      </c>
      <c r="AZ49" s="16">
        <f t="shared" si="26"/>
        <v>50</v>
      </c>
      <c r="BA49" s="7">
        <f t="shared" si="27"/>
        <v>2.5</v>
      </c>
      <c r="BB49" s="41"/>
      <c r="BC49" s="7">
        <f t="shared" si="28"/>
        <v>0</v>
      </c>
      <c r="BD49" s="23">
        <f>IF(BB49="A",0,VLOOKUP(BC49,'Transmutation Table'!$A$2:$B$32,2))</f>
        <v>70</v>
      </c>
      <c r="BE49" s="7">
        <f t="shared" si="49"/>
        <v>2.3333333333333335</v>
      </c>
      <c r="BF49" s="41"/>
      <c r="BG49" s="7">
        <f t="shared" si="50"/>
        <v>0</v>
      </c>
      <c r="BH49" s="23">
        <f>IF(BF49="A",0,VLOOKUP(BG49,'Transmutation Table'!$A$2:$B$32,2))</f>
        <v>70</v>
      </c>
      <c r="BI49" s="7">
        <f t="shared" si="51"/>
        <v>2.3333333333333335</v>
      </c>
      <c r="BJ49" s="41"/>
      <c r="BK49" s="7">
        <f>IFERROR(BJ49/#REF!*100,0)</f>
        <v>0</v>
      </c>
      <c r="BL49" s="23">
        <f>IF(BJ49="A",0,VLOOKUP(BK49,'Transmutation Table'!$A$2:$B$32,2))</f>
        <v>70</v>
      </c>
      <c r="BM49" s="7">
        <f t="shared" si="52"/>
        <v>2.3333333333333335</v>
      </c>
      <c r="BN49" s="7">
        <f t="shared" si="53"/>
        <v>7</v>
      </c>
      <c r="BO49" s="7">
        <f t="shared" si="34"/>
        <v>0</v>
      </c>
      <c r="BP49" s="7">
        <f t="shared" si="35"/>
        <v>50</v>
      </c>
      <c r="BQ49" s="13">
        <f t="shared" si="54"/>
        <v>9.5</v>
      </c>
      <c r="BR49" s="7">
        <f t="shared" si="5"/>
        <v>70.5</v>
      </c>
      <c r="BS49" s="23">
        <f>IFERROR(VLOOKUP(BR49,'Transmutation Table'!$B$2:$V$32,2),5)</f>
        <v>5</v>
      </c>
      <c r="BT49" s="19" t="str">
        <f t="shared" si="55"/>
        <v>FAILED</v>
      </c>
    </row>
    <row r="50" spans="1:72" x14ac:dyDescent="0.25">
      <c r="A50" s="8">
        <v>37</v>
      </c>
      <c r="B50" s="74" t="s">
        <v>102</v>
      </c>
      <c r="C50" s="75"/>
      <c r="D50" s="47"/>
      <c r="E50" s="14" t="str">
        <f t="shared" si="6"/>
        <v>/10</v>
      </c>
      <c r="F50" s="27">
        <f>IFERROR(VLOOKUP((D50/$F$12)*100,'Transmutation Table'!$A$2:$B$32,2),0)</f>
        <v>70</v>
      </c>
      <c r="G50" s="12">
        <f t="shared" si="7"/>
        <v>35</v>
      </c>
      <c r="H50" s="18"/>
      <c r="I50" s="18"/>
      <c r="J50" s="18"/>
      <c r="K50" s="18"/>
      <c r="L50" s="18"/>
      <c r="M50" s="18"/>
      <c r="N50" s="18"/>
      <c r="O50" s="17">
        <f t="shared" si="8"/>
        <v>0</v>
      </c>
      <c r="P50" s="17">
        <f t="shared" si="38"/>
        <v>0</v>
      </c>
      <c r="Q50" s="7">
        <f t="shared" si="39"/>
        <v>0</v>
      </c>
      <c r="R50" s="7">
        <f t="shared" si="40"/>
        <v>100</v>
      </c>
      <c r="S50" s="44">
        <f t="shared" si="41"/>
        <v>5</v>
      </c>
      <c r="T50" s="41"/>
      <c r="U50" s="7">
        <f t="shared" si="13"/>
        <v>0</v>
      </c>
      <c r="V50" s="23">
        <f>IF(T50="A",0,VLOOKUP(U50,'Transmutation Table'!$A$2:$B$32,2))</f>
        <v>70</v>
      </c>
      <c r="W50" s="7">
        <f t="shared" si="42"/>
        <v>2.3333333333333335</v>
      </c>
      <c r="X50" s="41"/>
      <c r="Y50" s="7">
        <f t="shared" si="43"/>
        <v>0</v>
      </c>
      <c r="Z50" s="23">
        <f>IF(X50="A",0,VLOOKUP(Y50,'Transmutation Table'!$A$2:$B$32,2))</f>
        <v>70</v>
      </c>
      <c r="AA50" s="7">
        <f t="shared" si="44"/>
        <v>2.3333333333333335</v>
      </c>
      <c r="AB50" s="41"/>
      <c r="AC50" s="7">
        <f t="shared" si="17"/>
        <v>0</v>
      </c>
      <c r="AD50" s="23">
        <f>IF(AB50="A",0,VLOOKUP(AC50,'Transmutation Table'!$A$2:$B$32,2))</f>
        <v>70</v>
      </c>
      <c r="AE50" s="7">
        <f t="shared" si="18"/>
        <v>2.3333333333333335</v>
      </c>
      <c r="AF50" s="17">
        <f t="shared" si="19"/>
        <v>7</v>
      </c>
      <c r="AG50" s="41"/>
      <c r="AH50" s="7">
        <f t="shared" si="20"/>
        <v>0</v>
      </c>
      <c r="AI50" s="23">
        <f>IF(AG50="A",0,VLOOKUP(AH50,'Transmutation Table'!$A$2:$B$32,2))</f>
        <v>70</v>
      </c>
      <c r="AJ50" s="7">
        <f t="shared" si="45"/>
        <v>4.666666666666667</v>
      </c>
      <c r="AK50" s="41"/>
      <c r="AL50" s="7">
        <f t="shared" si="22"/>
        <v>0</v>
      </c>
      <c r="AM50" s="23">
        <f>IF(AK50="A",0,VLOOKUP(AL50,'Transmutation Table'!$A$2:$B$32,2))</f>
        <v>70</v>
      </c>
      <c r="AN50" s="7">
        <f t="shared" si="46"/>
        <v>4.666666666666667</v>
      </c>
      <c r="AO50" s="41"/>
      <c r="AP50" s="7">
        <f t="shared" si="24"/>
        <v>0</v>
      </c>
      <c r="AQ50" s="23">
        <f>IF(AO50="A",0,VLOOKUP(AP50,'Transmutation Table'!$A$2:$B$32,2))</f>
        <v>70</v>
      </c>
      <c r="AR50" s="7">
        <f t="shared" si="47"/>
        <v>4.666666666666667</v>
      </c>
      <c r="AS50" s="17">
        <f t="shared" si="1"/>
        <v>14</v>
      </c>
      <c r="AT50" s="7">
        <f t="shared" si="2"/>
        <v>0</v>
      </c>
      <c r="AU50" s="7">
        <f t="shared" si="3"/>
        <v>70</v>
      </c>
      <c r="AV50" s="25">
        <f t="shared" si="4"/>
        <v>26</v>
      </c>
      <c r="AW50" s="41"/>
      <c r="AX50" s="41"/>
      <c r="AY50" s="16">
        <f t="shared" si="48"/>
        <v>0</v>
      </c>
      <c r="AZ50" s="16">
        <f t="shared" si="26"/>
        <v>50</v>
      </c>
      <c r="BA50" s="7">
        <f t="shared" si="27"/>
        <v>2.5</v>
      </c>
      <c r="BB50" s="41"/>
      <c r="BC50" s="7">
        <f t="shared" si="28"/>
        <v>0</v>
      </c>
      <c r="BD50" s="23">
        <f>IF(BB50="A",0,VLOOKUP(BC50,'Transmutation Table'!$A$2:$B$32,2))</f>
        <v>70</v>
      </c>
      <c r="BE50" s="7">
        <f t="shared" si="49"/>
        <v>2.3333333333333335</v>
      </c>
      <c r="BF50" s="41"/>
      <c r="BG50" s="7">
        <f t="shared" si="50"/>
        <v>0</v>
      </c>
      <c r="BH50" s="23">
        <f>IF(BF50="A",0,VLOOKUP(BG50,'Transmutation Table'!$A$2:$B$32,2))</f>
        <v>70</v>
      </c>
      <c r="BI50" s="7">
        <f t="shared" si="51"/>
        <v>2.3333333333333335</v>
      </c>
      <c r="BJ50" s="41"/>
      <c r="BK50" s="7">
        <f>IFERROR(BJ50/#REF!*100,0)</f>
        <v>0</v>
      </c>
      <c r="BL50" s="23">
        <f>IF(BJ50="A",0,VLOOKUP(BK50,'Transmutation Table'!$A$2:$B$32,2))</f>
        <v>70</v>
      </c>
      <c r="BM50" s="7">
        <f t="shared" si="52"/>
        <v>2.3333333333333335</v>
      </c>
      <c r="BN50" s="7">
        <f t="shared" si="53"/>
        <v>7</v>
      </c>
      <c r="BO50" s="7">
        <f t="shared" si="34"/>
        <v>0</v>
      </c>
      <c r="BP50" s="7">
        <f t="shared" si="35"/>
        <v>50</v>
      </c>
      <c r="BQ50" s="13">
        <f t="shared" si="54"/>
        <v>9.5</v>
      </c>
      <c r="BR50" s="7">
        <f t="shared" si="5"/>
        <v>70.5</v>
      </c>
      <c r="BS50" s="23">
        <f>IFERROR(VLOOKUP(BR50,'Transmutation Table'!$B$2:$V$32,2),5)</f>
        <v>5</v>
      </c>
      <c r="BT50" s="19" t="str">
        <f t="shared" si="55"/>
        <v>FAILED</v>
      </c>
    </row>
    <row r="51" spans="1:72" x14ac:dyDescent="0.25">
      <c r="A51" s="8">
        <v>38</v>
      </c>
      <c r="B51" s="74" t="s">
        <v>103</v>
      </c>
      <c r="C51" s="75"/>
      <c r="D51" s="47"/>
      <c r="E51" s="14" t="str">
        <f t="shared" si="6"/>
        <v>/10</v>
      </c>
      <c r="F51" s="27">
        <f>IFERROR(VLOOKUP((D51/$F$12)*100,'Transmutation Table'!$A$2:$B$32,2),0)</f>
        <v>70</v>
      </c>
      <c r="G51" s="12">
        <f t="shared" si="7"/>
        <v>35</v>
      </c>
      <c r="H51" s="18"/>
      <c r="I51" s="18"/>
      <c r="J51" s="18"/>
      <c r="K51" s="18"/>
      <c r="L51" s="18"/>
      <c r="M51" s="18"/>
      <c r="N51" s="18"/>
      <c r="O51" s="17">
        <f t="shared" si="8"/>
        <v>0</v>
      </c>
      <c r="P51" s="17">
        <f t="shared" si="38"/>
        <v>0</v>
      </c>
      <c r="Q51" s="7">
        <f t="shared" si="39"/>
        <v>0</v>
      </c>
      <c r="R51" s="7">
        <f t="shared" si="40"/>
        <v>100</v>
      </c>
      <c r="S51" s="44">
        <f t="shared" si="41"/>
        <v>5</v>
      </c>
      <c r="T51" s="41"/>
      <c r="U51" s="7">
        <f t="shared" si="13"/>
        <v>0</v>
      </c>
      <c r="V51" s="23">
        <f>IF(T51="A",0,VLOOKUP(U51,'Transmutation Table'!$A$2:$B$32,2))</f>
        <v>70</v>
      </c>
      <c r="W51" s="7">
        <f t="shared" si="42"/>
        <v>2.3333333333333335</v>
      </c>
      <c r="X51" s="41"/>
      <c r="Y51" s="7">
        <f t="shared" si="43"/>
        <v>0</v>
      </c>
      <c r="Z51" s="23">
        <f>IF(X51="A",0,VLOOKUP(Y51,'Transmutation Table'!$A$2:$B$32,2))</f>
        <v>70</v>
      </c>
      <c r="AA51" s="7">
        <f t="shared" si="44"/>
        <v>2.3333333333333335</v>
      </c>
      <c r="AB51" s="41"/>
      <c r="AC51" s="7">
        <f t="shared" si="17"/>
        <v>0</v>
      </c>
      <c r="AD51" s="23">
        <f>IF(AB51="A",0,VLOOKUP(AC51,'Transmutation Table'!$A$2:$B$32,2))</f>
        <v>70</v>
      </c>
      <c r="AE51" s="7">
        <f t="shared" si="18"/>
        <v>2.3333333333333335</v>
      </c>
      <c r="AF51" s="17">
        <f t="shared" si="19"/>
        <v>7</v>
      </c>
      <c r="AG51" s="41"/>
      <c r="AH51" s="7">
        <f t="shared" si="20"/>
        <v>0</v>
      </c>
      <c r="AI51" s="23">
        <f>IF(AG51="A",0,VLOOKUP(AH51,'Transmutation Table'!$A$2:$B$32,2))</f>
        <v>70</v>
      </c>
      <c r="AJ51" s="7">
        <f t="shared" si="45"/>
        <v>4.666666666666667</v>
      </c>
      <c r="AK51" s="41"/>
      <c r="AL51" s="7">
        <f t="shared" si="22"/>
        <v>0</v>
      </c>
      <c r="AM51" s="23">
        <f>IF(AK51="A",0,VLOOKUP(AL51,'Transmutation Table'!$A$2:$B$32,2))</f>
        <v>70</v>
      </c>
      <c r="AN51" s="7">
        <f t="shared" si="46"/>
        <v>4.666666666666667</v>
      </c>
      <c r="AO51" s="41"/>
      <c r="AP51" s="7">
        <f t="shared" si="24"/>
        <v>0</v>
      </c>
      <c r="AQ51" s="23">
        <f>IF(AO51="A",0,VLOOKUP(AP51,'Transmutation Table'!$A$2:$B$32,2))</f>
        <v>70</v>
      </c>
      <c r="AR51" s="7">
        <f t="shared" si="47"/>
        <v>4.666666666666667</v>
      </c>
      <c r="AS51" s="17">
        <f t="shared" si="1"/>
        <v>14</v>
      </c>
      <c r="AT51" s="7">
        <f t="shared" si="2"/>
        <v>0</v>
      </c>
      <c r="AU51" s="7">
        <f t="shared" si="3"/>
        <v>70</v>
      </c>
      <c r="AV51" s="25">
        <f t="shared" si="4"/>
        <v>26</v>
      </c>
      <c r="AW51" s="41"/>
      <c r="AX51" s="41"/>
      <c r="AY51" s="16">
        <f t="shared" si="48"/>
        <v>0</v>
      </c>
      <c r="AZ51" s="16">
        <f t="shared" si="26"/>
        <v>50</v>
      </c>
      <c r="BA51" s="7">
        <f t="shared" si="27"/>
        <v>2.5</v>
      </c>
      <c r="BB51" s="41"/>
      <c r="BC51" s="7">
        <f t="shared" si="28"/>
        <v>0</v>
      </c>
      <c r="BD51" s="23">
        <f>IF(BB51="A",0,VLOOKUP(BC51,'Transmutation Table'!$A$2:$B$32,2))</f>
        <v>70</v>
      </c>
      <c r="BE51" s="7">
        <f t="shared" si="49"/>
        <v>2.3333333333333335</v>
      </c>
      <c r="BF51" s="41"/>
      <c r="BG51" s="7">
        <f t="shared" si="50"/>
        <v>0</v>
      </c>
      <c r="BH51" s="23">
        <f>IF(BF51="A",0,VLOOKUP(BG51,'Transmutation Table'!$A$2:$B$32,2))</f>
        <v>70</v>
      </c>
      <c r="BI51" s="7">
        <f t="shared" si="51"/>
        <v>2.3333333333333335</v>
      </c>
      <c r="BJ51" s="41"/>
      <c r="BK51" s="7">
        <f>IFERROR(BJ51/#REF!*100,0)</f>
        <v>0</v>
      </c>
      <c r="BL51" s="23">
        <f>IF(BJ51="A",0,VLOOKUP(BK51,'Transmutation Table'!$A$2:$B$32,2))</f>
        <v>70</v>
      </c>
      <c r="BM51" s="7">
        <f t="shared" si="52"/>
        <v>2.3333333333333335</v>
      </c>
      <c r="BN51" s="7">
        <f t="shared" si="53"/>
        <v>7</v>
      </c>
      <c r="BO51" s="7">
        <f t="shared" si="34"/>
        <v>0</v>
      </c>
      <c r="BP51" s="7">
        <f t="shared" si="35"/>
        <v>50</v>
      </c>
      <c r="BQ51" s="13">
        <f t="shared" si="54"/>
        <v>9.5</v>
      </c>
      <c r="BR51" s="7">
        <f t="shared" si="5"/>
        <v>70.5</v>
      </c>
      <c r="BS51" s="23">
        <f>IFERROR(VLOOKUP(BR51,'Transmutation Table'!$B$2:$V$32,2),5)</f>
        <v>5</v>
      </c>
      <c r="BT51" s="19" t="str">
        <f t="shared" si="55"/>
        <v>FAILED</v>
      </c>
    </row>
    <row r="52" spans="1:72" x14ac:dyDescent="0.25">
      <c r="A52" s="8">
        <v>39</v>
      </c>
      <c r="B52" s="74" t="s">
        <v>104</v>
      </c>
      <c r="C52" s="75"/>
      <c r="D52" s="47"/>
      <c r="E52" s="14" t="str">
        <f t="shared" si="6"/>
        <v>/10</v>
      </c>
      <c r="F52" s="27">
        <f>IFERROR(VLOOKUP((D52/$F$12)*100,'Transmutation Table'!$A$2:$B$32,2),0)</f>
        <v>70</v>
      </c>
      <c r="G52" s="12">
        <f t="shared" si="7"/>
        <v>35</v>
      </c>
      <c r="H52" s="18"/>
      <c r="I52" s="18"/>
      <c r="J52" s="18"/>
      <c r="K52" s="18"/>
      <c r="L52" s="18"/>
      <c r="M52" s="18"/>
      <c r="N52" s="18"/>
      <c r="O52" s="17">
        <f t="shared" si="8"/>
        <v>0</v>
      </c>
      <c r="P52" s="17">
        <f t="shared" si="38"/>
        <v>0</v>
      </c>
      <c r="Q52" s="7">
        <f t="shared" si="39"/>
        <v>0</v>
      </c>
      <c r="R52" s="7">
        <f t="shared" si="40"/>
        <v>100</v>
      </c>
      <c r="S52" s="44">
        <f t="shared" si="41"/>
        <v>5</v>
      </c>
      <c r="T52" s="41"/>
      <c r="U52" s="7">
        <f t="shared" si="13"/>
        <v>0</v>
      </c>
      <c r="V52" s="23">
        <f>IF(T52="A",0,VLOOKUP(U52,'Transmutation Table'!$A$2:$B$32,2))</f>
        <v>70</v>
      </c>
      <c r="W52" s="7">
        <f t="shared" si="42"/>
        <v>2.3333333333333335</v>
      </c>
      <c r="X52" s="41"/>
      <c r="Y52" s="7">
        <f t="shared" si="43"/>
        <v>0</v>
      </c>
      <c r="Z52" s="23">
        <f>IF(X52="A",0,VLOOKUP(Y52,'Transmutation Table'!$A$2:$B$32,2))</f>
        <v>70</v>
      </c>
      <c r="AA52" s="7">
        <f t="shared" si="44"/>
        <v>2.3333333333333335</v>
      </c>
      <c r="AB52" s="41"/>
      <c r="AC52" s="7">
        <f t="shared" si="17"/>
        <v>0</v>
      </c>
      <c r="AD52" s="23">
        <f>IF(AB52="A",0,VLOOKUP(AC52,'Transmutation Table'!$A$2:$B$32,2))</f>
        <v>70</v>
      </c>
      <c r="AE52" s="7">
        <f t="shared" si="18"/>
        <v>2.3333333333333335</v>
      </c>
      <c r="AF52" s="17">
        <f t="shared" si="19"/>
        <v>7</v>
      </c>
      <c r="AG52" s="41"/>
      <c r="AH52" s="7">
        <f t="shared" si="20"/>
        <v>0</v>
      </c>
      <c r="AI52" s="23">
        <f>IF(AG52="A",0,VLOOKUP(AH52,'Transmutation Table'!$A$2:$B$32,2))</f>
        <v>70</v>
      </c>
      <c r="AJ52" s="7">
        <f t="shared" si="45"/>
        <v>4.666666666666667</v>
      </c>
      <c r="AK52" s="41"/>
      <c r="AL52" s="7">
        <f t="shared" si="22"/>
        <v>0</v>
      </c>
      <c r="AM52" s="23">
        <f>IF(AK52="A",0,VLOOKUP(AL52,'Transmutation Table'!$A$2:$B$32,2))</f>
        <v>70</v>
      </c>
      <c r="AN52" s="7">
        <f t="shared" si="46"/>
        <v>4.666666666666667</v>
      </c>
      <c r="AO52" s="41"/>
      <c r="AP52" s="7">
        <f t="shared" si="24"/>
        <v>0</v>
      </c>
      <c r="AQ52" s="23">
        <f>IF(AO52="A",0,VLOOKUP(AP52,'Transmutation Table'!$A$2:$B$32,2))</f>
        <v>70</v>
      </c>
      <c r="AR52" s="7">
        <f t="shared" si="47"/>
        <v>4.666666666666667</v>
      </c>
      <c r="AS52" s="17">
        <f t="shared" si="1"/>
        <v>14</v>
      </c>
      <c r="AT52" s="7">
        <f t="shared" si="2"/>
        <v>0</v>
      </c>
      <c r="AU52" s="7">
        <f t="shared" si="3"/>
        <v>70</v>
      </c>
      <c r="AV52" s="25">
        <f t="shared" si="4"/>
        <v>26</v>
      </c>
      <c r="AW52" s="41"/>
      <c r="AX52" s="41"/>
      <c r="AY52" s="16">
        <f t="shared" si="48"/>
        <v>0</v>
      </c>
      <c r="AZ52" s="16">
        <f t="shared" si="26"/>
        <v>50</v>
      </c>
      <c r="BA52" s="7">
        <f t="shared" si="27"/>
        <v>2.5</v>
      </c>
      <c r="BB52" s="41"/>
      <c r="BC52" s="7">
        <f t="shared" si="28"/>
        <v>0</v>
      </c>
      <c r="BD52" s="23">
        <f>IF(BB52="A",0,VLOOKUP(BC52,'Transmutation Table'!$A$2:$B$32,2))</f>
        <v>70</v>
      </c>
      <c r="BE52" s="7">
        <f t="shared" si="49"/>
        <v>2.3333333333333335</v>
      </c>
      <c r="BF52" s="41"/>
      <c r="BG52" s="7">
        <f t="shared" si="50"/>
        <v>0</v>
      </c>
      <c r="BH52" s="23">
        <f>IF(BF52="A",0,VLOOKUP(BG52,'Transmutation Table'!$A$2:$B$32,2))</f>
        <v>70</v>
      </c>
      <c r="BI52" s="7">
        <f t="shared" si="51"/>
        <v>2.3333333333333335</v>
      </c>
      <c r="BJ52" s="41"/>
      <c r="BK52" s="7">
        <f>IFERROR(BJ52/#REF!*100,0)</f>
        <v>0</v>
      </c>
      <c r="BL52" s="23">
        <f>IF(BJ52="A",0,VLOOKUP(BK52,'Transmutation Table'!$A$2:$B$32,2))</f>
        <v>70</v>
      </c>
      <c r="BM52" s="7">
        <f t="shared" si="52"/>
        <v>2.3333333333333335</v>
      </c>
      <c r="BN52" s="7">
        <f t="shared" si="53"/>
        <v>7</v>
      </c>
      <c r="BO52" s="7">
        <f t="shared" si="34"/>
        <v>0</v>
      </c>
      <c r="BP52" s="7">
        <f t="shared" si="35"/>
        <v>50</v>
      </c>
      <c r="BQ52" s="13">
        <f t="shared" si="54"/>
        <v>9.5</v>
      </c>
      <c r="BR52" s="7">
        <f t="shared" si="5"/>
        <v>70.5</v>
      </c>
      <c r="BS52" s="23">
        <f>IFERROR(VLOOKUP(BR52,'Transmutation Table'!$B$2:$V$32,2),5)</f>
        <v>5</v>
      </c>
      <c r="BT52" s="19" t="str">
        <f t="shared" si="55"/>
        <v>FAILED</v>
      </c>
    </row>
    <row r="53" spans="1:72" x14ac:dyDescent="0.25">
      <c r="A53" s="8">
        <v>40</v>
      </c>
      <c r="B53" s="74" t="s">
        <v>105</v>
      </c>
      <c r="C53" s="75"/>
      <c r="D53" s="47"/>
      <c r="E53" s="14" t="str">
        <f t="shared" si="6"/>
        <v>/10</v>
      </c>
      <c r="F53" s="27">
        <f>IFERROR(VLOOKUP((D53/$F$12)*100,'Transmutation Table'!$A$2:$B$32,2),0)</f>
        <v>70</v>
      </c>
      <c r="G53" s="12">
        <f t="shared" si="7"/>
        <v>35</v>
      </c>
      <c r="H53" s="18"/>
      <c r="I53" s="18"/>
      <c r="J53" s="18"/>
      <c r="K53" s="18"/>
      <c r="L53" s="18"/>
      <c r="M53" s="18"/>
      <c r="N53" s="18"/>
      <c r="O53" s="17">
        <f t="shared" si="8"/>
        <v>0</v>
      </c>
      <c r="P53" s="17">
        <f t="shared" si="38"/>
        <v>0</v>
      </c>
      <c r="Q53" s="7">
        <f t="shared" si="39"/>
        <v>0</v>
      </c>
      <c r="R53" s="7">
        <f t="shared" si="40"/>
        <v>100</v>
      </c>
      <c r="S53" s="44">
        <f t="shared" si="41"/>
        <v>5</v>
      </c>
      <c r="T53" s="41"/>
      <c r="U53" s="7">
        <f t="shared" si="13"/>
        <v>0</v>
      </c>
      <c r="V53" s="23">
        <f>IF(T53="A",0,VLOOKUP(U53,'Transmutation Table'!$A$2:$B$32,2))</f>
        <v>70</v>
      </c>
      <c r="W53" s="7">
        <f t="shared" si="42"/>
        <v>2.3333333333333335</v>
      </c>
      <c r="X53" s="41"/>
      <c r="Y53" s="7">
        <f t="shared" si="43"/>
        <v>0</v>
      </c>
      <c r="Z53" s="23">
        <f>IF(X53="A",0,VLOOKUP(Y53,'Transmutation Table'!$A$2:$B$32,2))</f>
        <v>70</v>
      </c>
      <c r="AA53" s="7">
        <f t="shared" si="44"/>
        <v>2.3333333333333335</v>
      </c>
      <c r="AB53" s="41"/>
      <c r="AC53" s="7">
        <f t="shared" si="17"/>
        <v>0</v>
      </c>
      <c r="AD53" s="23">
        <f>IF(AB53="A",0,VLOOKUP(AC53,'Transmutation Table'!$A$2:$B$32,2))</f>
        <v>70</v>
      </c>
      <c r="AE53" s="7">
        <f t="shared" si="18"/>
        <v>2.3333333333333335</v>
      </c>
      <c r="AF53" s="17">
        <f t="shared" si="19"/>
        <v>7</v>
      </c>
      <c r="AG53" s="41"/>
      <c r="AH53" s="7">
        <f t="shared" si="20"/>
        <v>0</v>
      </c>
      <c r="AI53" s="23">
        <f>IF(AG53="A",0,VLOOKUP(AH53,'Transmutation Table'!$A$2:$B$32,2))</f>
        <v>70</v>
      </c>
      <c r="AJ53" s="7">
        <f t="shared" si="45"/>
        <v>4.666666666666667</v>
      </c>
      <c r="AK53" s="41"/>
      <c r="AL53" s="7">
        <f t="shared" si="22"/>
        <v>0</v>
      </c>
      <c r="AM53" s="23">
        <f>IF(AK53="A",0,VLOOKUP(AL53,'Transmutation Table'!$A$2:$B$32,2))</f>
        <v>70</v>
      </c>
      <c r="AN53" s="7">
        <f t="shared" si="46"/>
        <v>4.666666666666667</v>
      </c>
      <c r="AO53" s="41"/>
      <c r="AP53" s="7">
        <f t="shared" si="24"/>
        <v>0</v>
      </c>
      <c r="AQ53" s="23">
        <f>IF(AO53="A",0,VLOOKUP(AP53,'Transmutation Table'!$A$2:$B$32,2))</f>
        <v>70</v>
      </c>
      <c r="AR53" s="7">
        <f t="shared" si="47"/>
        <v>4.666666666666667</v>
      </c>
      <c r="AS53" s="17">
        <f t="shared" si="1"/>
        <v>14</v>
      </c>
      <c r="AT53" s="7">
        <f t="shared" si="2"/>
        <v>0</v>
      </c>
      <c r="AU53" s="7">
        <f t="shared" si="3"/>
        <v>70</v>
      </c>
      <c r="AV53" s="25">
        <f t="shared" si="4"/>
        <v>26</v>
      </c>
      <c r="AW53" s="41"/>
      <c r="AX53" s="41"/>
      <c r="AY53" s="16">
        <f t="shared" si="48"/>
        <v>0</v>
      </c>
      <c r="AZ53" s="16">
        <f t="shared" si="26"/>
        <v>50</v>
      </c>
      <c r="BA53" s="7">
        <f t="shared" si="27"/>
        <v>2.5</v>
      </c>
      <c r="BB53" s="41"/>
      <c r="BC53" s="7">
        <f t="shared" si="28"/>
        <v>0</v>
      </c>
      <c r="BD53" s="23">
        <f>IF(BB53="A",0,VLOOKUP(BC53,'Transmutation Table'!$A$2:$B$32,2))</f>
        <v>70</v>
      </c>
      <c r="BE53" s="7">
        <f t="shared" si="49"/>
        <v>2.3333333333333335</v>
      </c>
      <c r="BF53" s="41"/>
      <c r="BG53" s="7">
        <f t="shared" si="50"/>
        <v>0</v>
      </c>
      <c r="BH53" s="23">
        <f>IF(BF53="A",0,VLOOKUP(BG53,'Transmutation Table'!$A$2:$B$32,2))</f>
        <v>70</v>
      </c>
      <c r="BI53" s="7">
        <f t="shared" si="51"/>
        <v>2.3333333333333335</v>
      </c>
      <c r="BJ53" s="41"/>
      <c r="BK53" s="7">
        <f>IFERROR(BJ53/#REF!*100,0)</f>
        <v>0</v>
      </c>
      <c r="BL53" s="23">
        <f>IF(BJ53="A",0,VLOOKUP(BK53,'Transmutation Table'!$A$2:$B$32,2))</f>
        <v>70</v>
      </c>
      <c r="BM53" s="7">
        <f t="shared" si="52"/>
        <v>2.3333333333333335</v>
      </c>
      <c r="BN53" s="7">
        <f t="shared" si="53"/>
        <v>7</v>
      </c>
      <c r="BO53" s="7">
        <f t="shared" si="34"/>
        <v>0</v>
      </c>
      <c r="BP53" s="7">
        <f t="shared" si="35"/>
        <v>50</v>
      </c>
      <c r="BQ53" s="13">
        <f t="shared" si="54"/>
        <v>9.5</v>
      </c>
      <c r="BR53" s="7">
        <f t="shared" si="5"/>
        <v>70.5</v>
      </c>
      <c r="BS53" s="23">
        <f>IFERROR(VLOOKUP(BR53,'Transmutation Table'!$B$2:$V$32,2),5)</f>
        <v>5</v>
      </c>
      <c r="BT53" s="19" t="str">
        <f t="shared" si="55"/>
        <v>FAILED</v>
      </c>
    </row>
    <row r="54" spans="1:72" x14ac:dyDescent="0.25">
      <c r="E54" s="10"/>
    </row>
    <row r="55" spans="1:72" x14ac:dyDescent="0.25">
      <c r="E55" s="10"/>
    </row>
    <row r="56" spans="1:72" x14ac:dyDescent="0.25">
      <c r="C56" s="76" t="s">
        <v>110</v>
      </c>
      <c r="D56" s="76"/>
      <c r="E56" s="76"/>
      <c r="F56" s="76"/>
      <c r="G56" s="76"/>
    </row>
    <row r="57" spans="1:72" x14ac:dyDescent="0.25">
      <c r="C57" s="78" t="s">
        <v>36</v>
      </c>
      <c r="D57" s="78"/>
      <c r="E57" s="78"/>
      <c r="F57" s="78"/>
      <c r="G57" s="78"/>
    </row>
    <row r="58" spans="1:72" x14ac:dyDescent="0.25">
      <c r="E58" s="10"/>
    </row>
    <row r="59" spans="1:72" x14ac:dyDescent="0.25">
      <c r="B59" s="9" t="s">
        <v>39</v>
      </c>
      <c r="E59" s="10"/>
    </row>
    <row r="60" spans="1:72" x14ac:dyDescent="0.25">
      <c r="E60" s="10"/>
    </row>
    <row r="61" spans="1:72" x14ac:dyDescent="0.25">
      <c r="C61" s="76" t="s">
        <v>111</v>
      </c>
      <c r="D61" s="76"/>
      <c r="E61" s="76"/>
      <c r="F61" s="76"/>
      <c r="G61" s="76"/>
      <c r="BO61" s="76" t="s">
        <v>38</v>
      </c>
      <c r="BP61" s="76"/>
      <c r="BQ61" s="76"/>
      <c r="BR61" s="76"/>
    </row>
    <row r="62" spans="1:72" x14ac:dyDescent="0.25">
      <c r="C62" s="78" t="s">
        <v>112</v>
      </c>
      <c r="D62" s="78"/>
      <c r="E62" s="78"/>
      <c r="F62" s="78"/>
      <c r="G62" s="78"/>
      <c r="BO62" s="77" t="s">
        <v>37</v>
      </c>
      <c r="BP62" s="77"/>
      <c r="BQ62" s="77"/>
      <c r="BR62" s="77"/>
    </row>
    <row r="65" spans="8:66" ht="30" x14ac:dyDescent="0.5">
      <c r="H65" s="71" t="s">
        <v>58</v>
      </c>
      <c r="I65" s="72"/>
      <c r="J65" s="72"/>
      <c r="K65" s="72"/>
      <c r="L65" s="72"/>
      <c r="M65" s="72"/>
      <c r="N65" s="72"/>
      <c r="O65" s="72"/>
      <c r="P65" s="73"/>
      <c r="S65" s="71" t="s">
        <v>58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3"/>
      <c r="AW65" s="71" t="s">
        <v>58</v>
      </c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3"/>
    </row>
  </sheetData>
  <mergeCells count="103">
    <mergeCell ref="B48:C48"/>
    <mergeCell ref="A1:BT1"/>
    <mergeCell ref="A2:BT2"/>
    <mergeCell ref="A3:BT3"/>
    <mergeCell ref="A4:BT4"/>
    <mergeCell ref="A5:BT5"/>
    <mergeCell ref="A7:B7"/>
    <mergeCell ref="BS7:BT7"/>
    <mergeCell ref="A8:B8"/>
    <mergeCell ref="Q8:R8"/>
    <mergeCell ref="BO8:BP8"/>
    <mergeCell ref="BS8:BT8"/>
    <mergeCell ref="BQ7:BR7"/>
    <mergeCell ref="A6:BT6"/>
    <mergeCell ref="A10:A13"/>
    <mergeCell ref="B10:C13"/>
    <mergeCell ref="D10:G11"/>
    <mergeCell ref="H10:AV10"/>
    <mergeCell ref="AW10:BQ10"/>
    <mergeCell ref="BR10:BR13"/>
    <mergeCell ref="T11:AF11"/>
    <mergeCell ref="AT11:AT13"/>
    <mergeCell ref="D13:E13"/>
    <mergeCell ref="BO11:BO13"/>
    <mergeCell ref="BP11:BP13"/>
    <mergeCell ref="T12:W12"/>
    <mergeCell ref="X12:AA12"/>
    <mergeCell ref="AG12:AJ12"/>
    <mergeCell ref="BS10:BS13"/>
    <mergeCell ref="BT10:BT13"/>
    <mergeCell ref="H11:H13"/>
    <mergeCell ref="AK12:AN12"/>
    <mergeCell ref="AO12:AR12"/>
    <mergeCell ref="AG11:AS11"/>
    <mergeCell ref="BB12:BE12"/>
    <mergeCell ref="BF12:BI12"/>
    <mergeCell ref="BO61:BR61"/>
    <mergeCell ref="BO62:BR62"/>
    <mergeCell ref="C56:G56"/>
    <mergeCell ref="C62:G62"/>
    <mergeCell ref="C57:G57"/>
    <mergeCell ref="C61:G61"/>
    <mergeCell ref="D12:E12"/>
    <mergeCell ref="N11:N13"/>
    <mergeCell ref="O11:S11"/>
    <mergeCell ref="BQ11:BQ12"/>
    <mergeCell ref="AU11:AU13"/>
    <mergeCell ref="AV11:AV13"/>
    <mergeCell ref="AW11:BA11"/>
    <mergeCell ref="O12:O13"/>
    <mergeCell ref="R12:R13"/>
    <mergeCell ref="I11:I13"/>
    <mergeCell ref="J11:J13"/>
    <mergeCell ref="K11:K13"/>
    <mergeCell ref="L11:L13"/>
    <mergeCell ref="M11:M13"/>
    <mergeCell ref="BJ12:BM12"/>
    <mergeCell ref="BB11:BN11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36:C36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V11:BX12"/>
    <mergeCell ref="BV10:BX10"/>
    <mergeCell ref="AB12:AE12"/>
    <mergeCell ref="H65:P65"/>
    <mergeCell ref="S65:AS65"/>
    <mergeCell ref="AW65:BN65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34:C34"/>
    <mergeCell ref="B35:C35"/>
    <mergeCell ref="B38:C38"/>
    <mergeCell ref="B37:C37"/>
  </mergeCells>
  <phoneticPr fontId="9" type="noConversion"/>
  <conditionalFormatting sqref="H14:N53">
    <cfRule type="containsText" dxfId="7" priority="13" operator="containsText" text="E">
      <formula>NOT(ISERROR(SEARCH("E",H14)))</formula>
    </cfRule>
    <cfRule type="containsText" dxfId="6" priority="14" operator="containsText" text="A">
      <formula>NOT(ISERROR(SEARCH("A",H14)))</formula>
    </cfRule>
    <cfRule type="containsText" dxfId="5" priority="15" operator="containsText" text="P">
      <formula>NOT(ISERROR(SEARCH("P",H14)))</formula>
    </cfRule>
  </conditionalFormatting>
  <conditionalFormatting sqref="BT14:BT53">
    <cfRule type="containsText" dxfId="4" priority="19" operator="containsText" text="FAILED">
      <formula>NOT(ISERROR(SEARCH("FAILED",BT14)))</formula>
    </cfRule>
  </conditionalFormatting>
  <pageMargins left="0.25" right="0.25" top="0.75" bottom="0.75" header="0.3" footer="0.3"/>
  <pageSetup paperSize="9" scale="2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57F4-62C4-4317-96F1-A890049715BB}">
  <sheetPr>
    <pageSetUpPr fitToPage="1"/>
  </sheetPr>
  <dimension ref="A1:BY65"/>
  <sheetViews>
    <sheetView showGridLines="0" view="pageBreakPreview" zoomScale="110" zoomScaleNormal="130" zoomScaleSheetLayoutView="11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A8" sqref="A8:B8"/>
    </sheetView>
  </sheetViews>
  <sheetFormatPr defaultRowHeight="13.8" x14ac:dyDescent="0.25"/>
  <cols>
    <col min="1" max="1" width="3.88671875" style="9" bestFit="1" customWidth="1"/>
    <col min="2" max="2" width="16.6640625" style="9" customWidth="1"/>
    <col min="3" max="3" width="13.88671875" style="9" customWidth="1"/>
    <col min="4" max="4" width="3.33203125" style="9" customWidth="1"/>
    <col min="5" max="5" width="3.21875" style="9" customWidth="1"/>
    <col min="6" max="6" width="7" style="9" customWidth="1"/>
    <col min="7" max="7" width="7.77734375" style="9" customWidth="1"/>
    <col min="8" max="14" width="3.33203125" style="9" customWidth="1"/>
    <col min="15" max="15" width="6.33203125" style="9" customWidth="1"/>
    <col min="16" max="16" width="7" style="9" customWidth="1"/>
    <col min="17" max="17" width="5.33203125" style="9" customWidth="1"/>
    <col min="18" max="18" width="6.88671875" style="9" customWidth="1"/>
    <col min="19" max="19" width="6.77734375" style="9" customWidth="1"/>
    <col min="20" max="20" width="7.33203125" style="9" customWidth="1"/>
    <col min="21" max="25" width="6.88671875" style="9" customWidth="1"/>
    <col min="26" max="26" width="7.5546875" style="9" customWidth="1"/>
    <col min="27" max="28" width="6.88671875" style="9" customWidth="1"/>
    <col min="29" max="29" width="7.21875" style="9" customWidth="1"/>
    <col min="30" max="30" width="6.88671875" style="9" customWidth="1"/>
    <col min="31" max="31" width="7.109375" style="9" customWidth="1"/>
    <col min="32" max="32" width="6.88671875" style="9" customWidth="1"/>
    <col min="33" max="33" width="7.5546875" style="9" customWidth="1"/>
    <col min="34" max="34" width="7.44140625" style="9" customWidth="1"/>
    <col min="35" max="41" width="6.88671875" style="9" customWidth="1"/>
    <col min="42" max="42" width="7.33203125" style="9" customWidth="1"/>
    <col min="43" max="45" width="6.88671875" style="9" customWidth="1"/>
    <col min="46" max="46" width="6.77734375" style="9" customWidth="1"/>
    <col min="47" max="47" width="6.109375" style="9" bestFit="1" customWidth="1"/>
    <col min="48" max="48" width="7" style="9" customWidth="1"/>
    <col min="49" max="49" width="7.77734375" style="9" hidden="1" customWidth="1"/>
    <col min="50" max="50" width="7" style="9" hidden="1" customWidth="1"/>
    <col min="51" max="52" width="6.44140625" style="9" hidden="1" customWidth="1"/>
    <col min="53" max="53" width="7" style="9" hidden="1" customWidth="1"/>
    <col min="54" max="54" width="7.33203125" style="9" hidden="1" customWidth="1"/>
    <col min="55" max="55" width="7.44140625" style="9" hidden="1" customWidth="1"/>
    <col min="56" max="66" width="6.88671875" style="9" hidden="1" customWidth="1"/>
    <col min="67" max="67" width="7.33203125" style="9" customWidth="1"/>
    <col min="68" max="68" width="8.44140625" style="9" customWidth="1"/>
    <col min="69" max="69" width="8.33203125" style="9" customWidth="1"/>
    <col min="70" max="70" width="7.109375" style="9" customWidth="1"/>
    <col min="71" max="71" width="8.109375" style="9" customWidth="1"/>
    <col min="72" max="16384" width="8.88671875" style="9"/>
  </cols>
  <sheetData>
    <row r="1" spans="1:77" x14ac:dyDescent="0.25">
      <c r="A1" s="93" t="s">
        <v>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</row>
    <row r="2" spans="1:77" x14ac:dyDescent="0.25">
      <c r="A2" s="93" t="s">
        <v>13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</row>
    <row r="3" spans="1:77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</row>
    <row r="4" spans="1:77" x14ac:dyDescent="0.25">
      <c r="A4" s="93" t="s">
        <v>113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</row>
    <row r="5" spans="1:77" x14ac:dyDescent="0.25">
      <c r="A5" s="94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</row>
    <row r="6" spans="1:77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</row>
    <row r="7" spans="1:77" x14ac:dyDescent="0.25">
      <c r="A7" s="95" t="s">
        <v>14</v>
      </c>
      <c r="B7" s="95"/>
      <c r="C7" s="24"/>
      <c r="D7" s="24"/>
      <c r="E7" s="24"/>
      <c r="F7" s="24"/>
      <c r="BQ7" s="95" t="s">
        <v>16</v>
      </c>
      <c r="BR7" s="95"/>
      <c r="BS7" s="76"/>
      <c r="BT7" s="76"/>
    </row>
    <row r="8" spans="1:77" ht="14.4" customHeight="1" x14ac:dyDescent="0.3">
      <c r="A8" s="95" t="s">
        <v>24</v>
      </c>
      <c r="B8" s="95"/>
      <c r="C8" s="24" t="s">
        <v>110</v>
      </c>
      <c r="D8" s="24"/>
      <c r="E8" s="24"/>
      <c r="G8" s="15"/>
      <c r="H8" s="15"/>
      <c r="I8" s="15"/>
      <c r="J8" s="15"/>
      <c r="K8" s="15"/>
      <c r="L8" s="15"/>
      <c r="M8" s="15"/>
      <c r="N8" s="15"/>
      <c r="O8" s="15"/>
      <c r="P8" s="15"/>
      <c r="Q8" s="95" t="s">
        <v>15</v>
      </c>
      <c r="R8" s="95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29"/>
      <c r="AV8" s="10" t="s">
        <v>17</v>
      </c>
      <c r="AW8" s="10"/>
      <c r="AX8" s="10"/>
      <c r="AY8" s="10"/>
      <c r="AZ8" s="10"/>
      <c r="BA8" s="1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96"/>
      <c r="BP8" s="96"/>
      <c r="BQ8" s="28"/>
      <c r="BR8" s="30" t="s">
        <v>18</v>
      </c>
      <c r="BS8" s="97"/>
      <c r="BT8" s="97"/>
    </row>
    <row r="9" spans="1:77" ht="13.2" customHeight="1" x14ac:dyDescent="0.25"/>
    <row r="10" spans="1:77" ht="14.4" customHeight="1" x14ac:dyDescent="0.25">
      <c r="A10" s="87" t="s">
        <v>0</v>
      </c>
      <c r="B10" s="99" t="s">
        <v>1</v>
      </c>
      <c r="C10" s="100"/>
      <c r="D10" s="105" t="str">
        <f>_xlfn.CONCAT("Per. Exam ","(",SUM(G12)*100,"%",")")</f>
        <v>Per. Exam (57.5%)</v>
      </c>
      <c r="E10" s="105"/>
      <c r="F10" s="105"/>
      <c r="G10" s="105"/>
      <c r="H10" s="106" t="str">
        <f>_xlfn.CONCAT("Class Standing ","(",SUM(S13,AF13,AS13)*100,"%",")")</f>
        <v>Class Standing (42.5%)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7" t="str">
        <f>_xlfn.CONCAT("Project ","(",SUM(BA13,BN13)*100,"%",")")</f>
        <v>Project (0%)</v>
      </c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8" t="s">
        <v>23</v>
      </c>
      <c r="BS10" s="91" t="s">
        <v>62</v>
      </c>
      <c r="BT10" s="92" t="s">
        <v>3</v>
      </c>
      <c r="BV10" s="67">
        <f>SUM(BQ11,AS13,AF13,S13,G12)</f>
        <v>1</v>
      </c>
      <c r="BW10" s="67"/>
      <c r="BX10" s="67"/>
    </row>
    <row r="11" spans="1:77" ht="14.4" customHeight="1" x14ac:dyDescent="0.25">
      <c r="A11" s="87"/>
      <c r="B11" s="101"/>
      <c r="C11" s="102"/>
      <c r="D11" s="105"/>
      <c r="E11" s="105"/>
      <c r="F11" s="105"/>
      <c r="G11" s="105"/>
      <c r="H11" s="88"/>
      <c r="I11" s="88"/>
      <c r="J11" s="81"/>
      <c r="K11" s="81"/>
      <c r="L11" s="81"/>
      <c r="M11" s="81"/>
      <c r="N11" s="81"/>
      <c r="O11" s="82" t="str">
        <f>_xlfn.CONCAT("Attendance ","(",SUM(S13)*100,"%",")")</f>
        <v>Attendance (5%)</v>
      </c>
      <c r="P11" s="82"/>
      <c r="Q11" s="82"/>
      <c r="R11" s="82"/>
      <c r="S11" s="82"/>
      <c r="T11" s="109" t="str">
        <f>_xlfn.CONCAT("Seatwork/Homework/Activity ","(",SUM(W13,AA13,AE13)*100,"%",")")</f>
        <v>Seatwork/Homework/Activity (13.75%)</v>
      </c>
      <c r="U11" s="109"/>
      <c r="V11" s="109"/>
      <c r="W11" s="109"/>
      <c r="X11" s="87"/>
      <c r="Y11" s="87"/>
      <c r="Z11" s="87"/>
      <c r="AA11" s="87"/>
      <c r="AB11" s="87"/>
      <c r="AC11" s="87"/>
      <c r="AD11" s="87"/>
      <c r="AE11" s="87"/>
      <c r="AF11" s="87"/>
      <c r="AG11" s="68" t="str">
        <f>_xlfn.CONCAT("Quizzes ","(",SUM(AJ13,AN13,AR13)*100,"%",")")</f>
        <v>Quizzes (23.75%)</v>
      </c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70"/>
      <c r="AT11" s="86" t="s">
        <v>21</v>
      </c>
      <c r="AU11" s="85" t="s">
        <v>2</v>
      </c>
      <c r="AV11" s="86" t="s">
        <v>34</v>
      </c>
      <c r="AW11" s="87" t="str">
        <f>_xlfn.CONCAT("Notebook ","(",SUM(BA13)*100,"%",")")</f>
        <v>Notebook (0%)</v>
      </c>
      <c r="AX11" s="87"/>
      <c r="AY11" s="87"/>
      <c r="AZ11" s="87"/>
      <c r="BA11" s="87"/>
      <c r="BB11" s="68" t="str">
        <f>_xlfn.CONCAT("Plates ","(",SUM(BE13,BI13,BM13)*100,"%",")")</f>
        <v>Plates (0%)</v>
      </c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70"/>
      <c r="BO11" s="90" t="s">
        <v>22</v>
      </c>
      <c r="BP11" s="90" t="s">
        <v>2</v>
      </c>
      <c r="BQ11" s="83">
        <f>SUM(BA13,BN13)</f>
        <v>0</v>
      </c>
      <c r="BR11" s="108"/>
      <c r="BS11" s="91"/>
      <c r="BT11" s="92"/>
      <c r="BU11" s="49"/>
      <c r="BV11" s="61" t="s">
        <v>59</v>
      </c>
      <c r="BW11" s="62"/>
      <c r="BX11" s="63"/>
      <c r="BY11" s="48"/>
    </row>
    <row r="12" spans="1:77" ht="14.4" customHeight="1" x14ac:dyDescent="0.25">
      <c r="A12" s="87"/>
      <c r="B12" s="101"/>
      <c r="C12" s="102"/>
      <c r="D12" s="79" t="s">
        <v>32</v>
      </c>
      <c r="E12" s="80"/>
      <c r="F12" s="34">
        <v>10</v>
      </c>
      <c r="G12" s="35">
        <v>0.57499999999999996</v>
      </c>
      <c r="H12" s="88"/>
      <c r="I12" s="88"/>
      <c r="J12" s="81"/>
      <c r="K12" s="81"/>
      <c r="L12" s="89"/>
      <c r="M12" s="89"/>
      <c r="N12" s="81"/>
      <c r="O12" s="85" t="s">
        <v>26</v>
      </c>
      <c r="P12" s="36" t="s">
        <v>27</v>
      </c>
      <c r="Q12" s="34">
        <v>1.5</v>
      </c>
      <c r="R12" s="85" t="s">
        <v>2</v>
      </c>
      <c r="S12" s="42" t="s">
        <v>29</v>
      </c>
      <c r="T12" s="87" t="s">
        <v>63</v>
      </c>
      <c r="U12" s="87"/>
      <c r="V12" s="87"/>
      <c r="W12" s="87"/>
      <c r="X12" s="87" t="s">
        <v>108</v>
      </c>
      <c r="Y12" s="69"/>
      <c r="Z12" s="69"/>
      <c r="AA12" s="70"/>
      <c r="AB12" s="68" t="s">
        <v>109</v>
      </c>
      <c r="AC12" s="69"/>
      <c r="AD12" s="69"/>
      <c r="AE12" s="70"/>
      <c r="AF12" s="37" t="s">
        <v>29</v>
      </c>
      <c r="AG12" s="68" t="s">
        <v>64</v>
      </c>
      <c r="AH12" s="69"/>
      <c r="AI12" s="69"/>
      <c r="AJ12" s="70"/>
      <c r="AK12" s="68" t="s">
        <v>107</v>
      </c>
      <c r="AL12" s="69"/>
      <c r="AM12" s="69"/>
      <c r="AN12" s="70"/>
      <c r="AO12" s="68" t="s">
        <v>106</v>
      </c>
      <c r="AP12" s="69"/>
      <c r="AQ12" s="69"/>
      <c r="AR12" s="70"/>
      <c r="AS12" s="20" t="s">
        <v>29</v>
      </c>
      <c r="AT12" s="86"/>
      <c r="AU12" s="85"/>
      <c r="AV12" s="86"/>
      <c r="AW12" s="38" t="s">
        <v>30</v>
      </c>
      <c r="AX12" s="38" t="s">
        <v>31</v>
      </c>
      <c r="AY12" s="38" t="s">
        <v>27</v>
      </c>
      <c r="AZ12" s="38"/>
      <c r="BA12" s="37" t="s">
        <v>29</v>
      </c>
      <c r="BB12" s="68" t="s">
        <v>41</v>
      </c>
      <c r="BC12" s="69"/>
      <c r="BD12" s="69"/>
      <c r="BE12" s="70"/>
      <c r="BF12" s="68" t="s">
        <v>42</v>
      </c>
      <c r="BG12" s="69"/>
      <c r="BH12" s="69"/>
      <c r="BI12" s="70"/>
      <c r="BJ12" s="68" t="s">
        <v>43</v>
      </c>
      <c r="BK12" s="69"/>
      <c r="BL12" s="69"/>
      <c r="BM12" s="70"/>
      <c r="BN12" s="37" t="s">
        <v>29</v>
      </c>
      <c r="BO12" s="90"/>
      <c r="BP12" s="90"/>
      <c r="BQ12" s="84"/>
      <c r="BR12" s="108"/>
      <c r="BS12" s="91"/>
      <c r="BT12" s="92"/>
      <c r="BV12" s="64"/>
      <c r="BW12" s="65"/>
      <c r="BX12" s="66"/>
      <c r="BY12" s="48"/>
    </row>
    <row r="13" spans="1:77" ht="36" customHeight="1" x14ac:dyDescent="0.25">
      <c r="A13" s="87"/>
      <c r="B13" s="103"/>
      <c r="C13" s="104"/>
      <c r="D13" s="110" t="s">
        <v>19</v>
      </c>
      <c r="E13" s="110"/>
      <c r="F13" s="11" t="s">
        <v>2</v>
      </c>
      <c r="G13" s="11" t="s">
        <v>33</v>
      </c>
      <c r="H13" s="88"/>
      <c r="I13" s="88"/>
      <c r="J13" s="81"/>
      <c r="K13" s="81"/>
      <c r="L13" s="89"/>
      <c r="M13" s="89"/>
      <c r="N13" s="81"/>
      <c r="O13" s="85"/>
      <c r="P13" s="26">
        <v>2.5</v>
      </c>
      <c r="Q13" s="32" t="s">
        <v>20</v>
      </c>
      <c r="R13" s="85"/>
      <c r="S13" s="43">
        <v>0.05</v>
      </c>
      <c r="T13" s="59">
        <v>10</v>
      </c>
      <c r="U13" s="33" t="s">
        <v>28</v>
      </c>
      <c r="V13" s="33" t="s">
        <v>25</v>
      </c>
      <c r="W13" s="39">
        <f>AF13/3</f>
        <v>4.5833333333333337E-2</v>
      </c>
      <c r="X13" s="60">
        <v>10</v>
      </c>
      <c r="Y13" s="33" t="s">
        <v>28</v>
      </c>
      <c r="Z13" s="33" t="s">
        <v>25</v>
      </c>
      <c r="AA13" s="40">
        <f>W13</f>
        <v>4.5833333333333337E-2</v>
      </c>
      <c r="AB13" s="59">
        <v>50</v>
      </c>
      <c r="AC13" s="33" t="s">
        <v>28</v>
      </c>
      <c r="AD13" s="33" t="s">
        <v>25</v>
      </c>
      <c r="AE13" s="40">
        <f>AA13</f>
        <v>4.5833333333333337E-2</v>
      </c>
      <c r="AF13" s="21">
        <v>0.13750000000000001</v>
      </c>
      <c r="AG13" s="59">
        <v>15</v>
      </c>
      <c r="AH13" s="33" t="s">
        <v>28</v>
      </c>
      <c r="AI13" s="33" t="s">
        <v>25</v>
      </c>
      <c r="AJ13" s="39">
        <f>AS13/3</f>
        <v>7.9166666666666663E-2</v>
      </c>
      <c r="AK13" s="59">
        <v>15</v>
      </c>
      <c r="AL13" s="33" t="s">
        <v>28</v>
      </c>
      <c r="AM13" s="33" t="s">
        <v>25</v>
      </c>
      <c r="AN13" s="40">
        <f>AJ13</f>
        <v>7.9166666666666663E-2</v>
      </c>
      <c r="AO13" s="59">
        <v>50</v>
      </c>
      <c r="AP13" s="33" t="s">
        <v>28</v>
      </c>
      <c r="AQ13" s="33" t="s">
        <v>25</v>
      </c>
      <c r="AR13" s="40">
        <f>AN13</f>
        <v>7.9166666666666663E-2</v>
      </c>
      <c r="AS13" s="21">
        <v>0.23749999999999999</v>
      </c>
      <c r="AT13" s="86"/>
      <c r="AU13" s="85"/>
      <c r="AV13" s="86"/>
      <c r="AW13" s="31">
        <v>100</v>
      </c>
      <c r="AX13" s="31"/>
      <c r="AY13" s="31">
        <f t="shared" ref="AY13:AY23" si="0">SUM(AW13:AX13)</f>
        <v>100</v>
      </c>
      <c r="AZ13" s="31" t="s">
        <v>25</v>
      </c>
      <c r="BA13" s="21">
        <v>0</v>
      </c>
      <c r="BB13" s="59">
        <v>50</v>
      </c>
      <c r="BC13" s="31" t="s">
        <v>28</v>
      </c>
      <c r="BD13" s="31" t="s">
        <v>25</v>
      </c>
      <c r="BE13" s="45">
        <f>BN13/3</f>
        <v>0</v>
      </c>
      <c r="BF13" s="59">
        <v>50</v>
      </c>
      <c r="BG13" s="31" t="s">
        <v>28</v>
      </c>
      <c r="BH13" s="31" t="s">
        <v>25</v>
      </c>
      <c r="BI13" s="46">
        <f>BE13</f>
        <v>0</v>
      </c>
      <c r="BJ13" s="59">
        <v>50</v>
      </c>
      <c r="BK13" s="31" t="s">
        <v>28</v>
      </c>
      <c r="BL13" s="31" t="s">
        <v>25</v>
      </c>
      <c r="BM13" s="46">
        <f>BI13</f>
        <v>0</v>
      </c>
      <c r="BN13" s="22">
        <v>0</v>
      </c>
      <c r="BO13" s="90"/>
      <c r="BP13" s="90"/>
      <c r="BQ13" s="31" t="s">
        <v>35</v>
      </c>
      <c r="BR13" s="108"/>
      <c r="BS13" s="91"/>
      <c r="BT13" s="92"/>
    </row>
    <row r="14" spans="1:77" ht="14.4" customHeight="1" x14ac:dyDescent="0.25">
      <c r="A14" s="8">
        <v>1</v>
      </c>
      <c r="B14" s="74" t="s">
        <v>66</v>
      </c>
      <c r="C14" s="75"/>
      <c r="D14" s="47"/>
      <c r="E14" s="14" t="str">
        <f>_xlfn.CONCAT("/","",$F$12,"","")</f>
        <v>/10</v>
      </c>
      <c r="F14" s="27">
        <f>IFERROR(VLOOKUP((D14/$F$12)*100,'Transmutation Table'!$A$2:$B$32,2),0)</f>
        <v>70</v>
      </c>
      <c r="G14" s="12">
        <f>$G$12*F14</f>
        <v>40.25</v>
      </c>
      <c r="H14" s="18"/>
      <c r="I14" s="18"/>
      <c r="J14" s="18"/>
      <c r="K14" s="18"/>
      <c r="L14" s="18"/>
      <c r="M14" s="18"/>
      <c r="N14" s="18"/>
      <c r="O14" s="17">
        <f>COUNTIF(H14:N14,"P")+COUNTIF(H14:N14,"E")+COUNTIF(H14:N14,"L")*(1/3)</f>
        <v>0</v>
      </c>
      <c r="P14" s="17">
        <f>COUNTA(H14:N14)</f>
        <v>0</v>
      </c>
      <c r="Q14" s="7">
        <f>(P14-O14)*$Q$12</f>
        <v>0</v>
      </c>
      <c r="R14" s="7">
        <f>100-(Q14*$P$13)</f>
        <v>100</v>
      </c>
      <c r="S14" s="44">
        <f>R14*$S$13</f>
        <v>5</v>
      </c>
      <c r="T14" s="41"/>
      <c r="U14" s="7">
        <f>IFERROR(T14/$T$13*100,0)</f>
        <v>0</v>
      </c>
      <c r="V14" s="23">
        <f>IF(T14="A",0,VLOOKUP(U14,'Transmutation Table'!$A$2:$B$32,2))</f>
        <v>70</v>
      </c>
      <c r="W14" s="7">
        <f>V14*$W$13</f>
        <v>3.2083333333333335</v>
      </c>
      <c r="X14" s="41"/>
      <c r="Y14" s="7">
        <f>IFERROR(X14/$X$13*100,0)</f>
        <v>0</v>
      </c>
      <c r="Z14" s="23">
        <f>IF(X14="A",0,VLOOKUP(Y14,'Transmutation Table'!$A$2:$B$32,2))</f>
        <v>70</v>
      </c>
      <c r="AA14" s="7">
        <f>Z14*$AA$13</f>
        <v>3.2083333333333335</v>
      </c>
      <c r="AB14" s="41"/>
      <c r="AC14" s="7">
        <f>IFERROR(AB14/$AB$13*100,0)</f>
        <v>0</v>
      </c>
      <c r="AD14" s="23">
        <f>IF(AB14="A",0,VLOOKUP(AC14,'Transmutation Table'!$A$2:$B$32,2))</f>
        <v>70</v>
      </c>
      <c r="AE14" s="7">
        <f>AD14*$AE$13</f>
        <v>3.2083333333333335</v>
      </c>
      <c r="AF14" s="17">
        <f>SUM(W14,AA14,AE14)</f>
        <v>9.625</v>
      </c>
      <c r="AG14" s="41"/>
      <c r="AH14" s="7">
        <f>IFERROR(AG14/$AG$13*100,0)</f>
        <v>0</v>
      </c>
      <c r="AI14" s="23">
        <f>IF(AG14="A",0,VLOOKUP(AH14,'Transmutation Table'!$A$2:$B$32,2))</f>
        <v>70</v>
      </c>
      <c r="AJ14" s="7">
        <f>AI14*$AJ$13</f>
        <v>5.5416666666666661</v>
      </c>
      <c r="AK14" s="41"/>
      <c r="AL14" s="7">
        <f>IFERROR(AK14/$AK$13*100,0)</f>
        <v>0</v>
      </c>
      <c r="AM14" s="23">
        <f>IF(AK14="A",0,VLOOKUP(AL14,'Transmutation Table'!$A$2:$B$32,2))</f>
        <v>70</v>
      </c>
      <c r="AN14" s="7">
        <f>AM14*$AN$13</f>
        <v>5.5416666666666661</v>
      </c>
      <c r="AO14" s="41"/>
      <c r="AP14" s="7">
        <f>IFERROR(AO14/$AO$13*100,0)</f>
        <v>0</v>
      </c>
      <c r="AQ14" s="23">
        <f>IF(AO14="A",0,VLOOKUP(AP14,'Transmutation Table'!$A$2:$B$32,2))</f>
        <v>70</v>
      </c>
      <c r="AR14" s="7">
        <f>AQ14*$AR$13</f>
        <v>5.5416666666666661</v>
      </c>
      <c r="AS14" s="17">
        <f t="shared" ref="AS14:AS53" si="1">SUM(AJ14,AN14,AR14)</f>
        <v>16.625</v>
      </c>
      <c r="AT14" s="7">
        <f t="shared" ref="AT14:AU53" si="2">AVERAGE(AH14,AL14,AP14)</f>
        <v>0</v>
      </c>
      <c r="AU14" s="7">
        <f t="shared" si="2"/>
        <v>70</v>
      </c>
      <c r="AV14" s="25">
        <f t="shared" ref="AV14:AV53" si="3">SUM(S14,AF14,AS14)</f>
        <v>31.25</v>
      </c>
      <c r="AW14" s="41"/>
      <c r="AX14" s="41"/>
      <c r="AY14" s="16">
        <f t="shared" si="0"/>
        <v>0</v>
      </c>
      <c r="AZ14" s="16">
        <f>50+(AY14/$AY$13)*50</f>
        <v>50</v>
      </c>
      <c r="BA14" s="7">
        <f>AZ14*$BA$13</f>
        <v>0</v>
      </c>
      <c r="BB14" s="41"/>
      <c r="BC14" s="7">
        <f>IFERROR(BB14/$T$13*100,0)</f>
        <v>0</v>
      </c>
      <c r="BD14" s="23">
        <f>IF(BB14="A",0,VLOOKUP(BC14,'Transmutation Table'!$A$2:$B$32,2))</f>
        <v>70</v>
      </c>
      <c r="BE14" s="7">
        <f>BD14*$BE$13</f>
        <v>0</v>
      </c>
      <c r="BF14" s="41"/>
      <c r="BG14" s="7">
        <f>IFERROR(BF14/$X$13*100,0)</f>
        <v>0</v>
      </c>
      <c r="BH14" s="23">
        <f>IF(BF14="A",0,VLOOKUP(BG14,'Transmutation Table'!$A$2:$B$32,2))</f>
        <v>70</v>
      </c>
      <c r="BI14" s="7">
        <f>BH14*$BI$13</f>
        <v>0</v>
      </c>
      <c r="BJ14" s="41"/>
      <c r="BK14" s="7">
        <f>IFERROR(BJ14/#REF!*100,0)</f>
        <v>0</v>
      </c>
      <c r="BL14" s="23">
        <f>IF(BJ14="A",0,VLOOKUP(BK14,'Transmutation Table'!$A$2:$B$32,2))</f>
        <v>70</v>
      </c>
      <c r="BM14" s="7">
        <f>BL14*$BM$13</f>
        <v>0</v>
      </c>
      <c r="BN14" s="7">
        <f>SUM(BE14,BI14,BM14)</f>
        <v>0</v>
      </c>
      <c r="BO14" s="7">
        <f>AVERAGE(AY14)</f>
        <v>0</v>
      </c>
      <c r="BP14" s="7">
        <v>0</v>
      </c>
      <c r="BQ14" s="13">
        <f>SUM(BA14,BN14)</f>
        <v>0</v>
      </c>
      <c r="BR14" s="7">
        <f t="shared" ref="BR14:BR53" si="4">SUM(G14,AV14)</f>
        <v>71.5</v>
      </c>
      <c r="BS14" s="23">
        <f>IFERROR(VLOOKUP(BR14,'Transmutation Table'!$B$2:$V$32,2),5)</f>
        <v>5</v>
      </c>
      <c r="BT14" s="19" t="str">
        <f>IF(BR14&gt;=75,"PASSED","FAILED")</f>
        <v>FAILED</v>
      </c>
    </row>
    <row r="15" spans="1:77" ht="14.4" customHeight="1" x14ac:dyDescent="0.25">
      <c r="A15" s="8">
        <v>2</v>
      </c>
      <c r="B15" s="74" t="s">
        <v>67</v>
      </c>
      <c r="C15" s="75"/>
      <c r="D15" s="47"/>
      <c r="E15" s="14" t="str">
        <f t="shared" ref="E15:E53" si="5">_xlfn.CONCAT("/","",$F$12,"","")</f>
        <v>/10</v>
      </c>
      <c r="F15" s="27">
        <f>IFERROR(VLOOKUP((D15/$F$12)*100,'Transmutation Table'!$A$2:$B$32,2),0)</f>
        <v>70</v>
      </c>
      <c r="G15" s="12">
        <f t="shared" ref="G15:G53" si="6">$G$12*F15</f>
        <v>40.25</v>
      </c>
      <c r="H15" s="18"/>
      <c r="I15" s="18"/>
      <c r="J15" s="18"/>
      <c r="K15" s="18"/>
      <c r="L15" s="18"/>
      <c r="M15" s="18"/>
      <c r="N15" s="18"/>
      <c r="O15" s="17">
        <f t="shared" ref="O15:O53" si="7">COUNTIF(H15:N15,"P")+COUNTIF(H15:N15,"E")+COUNTIF(H15:N15,"L")*(1/3)</f>
        <v>0</v>
      </c>
      <c r="P15" s="17">
        <f t="shared" ref="P15:P53" si="8">COUNTA(H15:N15)</f>
        <v>0</v>
      </c>
      <c r="Q15" s="7">
        <f t="shared" ref="Q15:Q53" si="9">(P15-O15)*$Q$12</f>
        <v>0</v>
      </c>
      <c r="R15" s="7">
        <f t="shared" ref="R15:R53" si="10">100-(Q15*$P$13)</f>
        <v>100</v>
      </c>
      <c r="S15" s="44">
        <f t="shared" ref="S15:S53" si="11">R15*$S$13</f>
        <v>5</v>
      </c>
      <c r="T15" s="41"/>
      <c r="U15" s="7">
        <f t="shared" ref="U15:U53" si="12">IFERROR(T15/$T$13*100,0)</f>
        <v>0</v>
      </c>
      <c r="V15" s="23">
        <f>IF(T15="A",0,VLOOKUP(U15,'Transmutation Table'!$A$2:$B$32,2))</f>
        <v>70</v>
      </c>
      <c r="W15" s="7">
        <f t="shared" ref="W15:W53" si="13">V15*$W$13</f>
        <v>3.2083333333333335</v>
      </c>
      <c r="X15" s="41"/>
      <c r="Y15" s="7">
        <f t="shared" ref="Y15:Y53" si="14">IFERROR(X15/$X$13*100,0)</f>
        <v>0</v>
      </c>
      <c r="Z15" s="23">
        <f>IF(X15="A",0,VLOOKUP(Y15,'Transmutation Table'!$A$2:$B$32,2))</f>
        <v>70</v>
      </c>
      <c r="AA15" s="7">
        <f t="shared" ref="AA15:AA53" si="15">Z15*$AA$13</f>
        <v>3.2083333333333335</v>
      </c>
      <c r="AB15" s="41"/>
      <c r="AC15" s="7">
        <f t="shared" ref="AC15:AC53" si="16">IFERROR(AB15/$AB$13*100,0)</f>
        <v>0</v>
      </c>
      <c r="AD15" s="23">
        <f>IF(AB15="A",0,VLOOKUP(AC15,'Transmutation Table'!$A$2:$B$32,2))</f>
        <v>70</v>
      </c>
      <c r="AE15" s="7">
        <f t="shared" ref="AE15:AE53" si="17">AD15*$AE$13</f>
        <v>3.2083333333333335</v>
      </c>
      <c r="AF15" s="17">
        <f t="shared" ref="AF15:AF53" si="18">SUM(W15,AA15,AE15)</f>
        <v>9.625</v>
      </c>
      <c r="AG15" s="41"/>
      <c r="AH15" s="7">
        <f t="shared" ref="AH15:AH53" si="19">IFERROR(AG15/$AG$13*100,0)</f>
        <v>0</v>
      </c>
      <c r="AI15" s="23">
        <f>IF(AG15="A",0,VLOOKUP(AH15,'Transmutation Table'!$A$2:$B$32,2))</f>
        <v>70</v>
      </c>
      <c r="AJ15" s="7">
        <f t="shared" ref="AJ15:AJ53" si="20">AI15*$AJ$13</f>
        <v>5.5416666666666661</v>
      </c>
      <c r="AK15" s="41"/>
      <c r="AL15" s="7">
        <f t="shared" ref="AL15:AL53" si="21">IFERROR(AK15/$AK$13*100,0)</f>
        <v>0</v>
      </c>
      <c r="AM15" s="23">
        <f>IF(AK15="A",0,VLOOKUP(AL15,'Transmutation Table'!$A$2:$B$32,2))</f>
        <v>70</v>
      </c>
      <c r="AN15" s="7">
        <f t="shared" ref="AN15:AN53" si="22">AM15*$AN$13</f>
        <v>5.5416666666666661</v>
      </c>
      <c r="AO15" s="41"/>
      <c r="AP15" s="7">
        <f t="shared" ref="AP15:AP53" si="23">IFERROR(AO15/$AO$13*100,0)</f>
        <v>0</v>
      </c>
      <c r="AQ15" s="23">
        <f>IF(AO15="A",0,VLOOKUP(AP15,'Transmutation Table'!$A$2:$B$32,2))</f>
        <v>70</v>
      </c>
      <c r="AR15" s="7">
        <f t="shared" ref="AR15:AR53" si="24">AQ15*$AR$13</f>
        <v>5.5416666666666661</v>
      </c>
      <c r="AS15" s="17">
        <f t="shared" si="1"/>
        <v>16.625</v>
      </c>
      <c r="AT15" s="7">
        <f t="shared" si="2"/>
        <v>0</v>
      </c>
      <c r="AU15" s="7">
        <f t="shared" si="2"/>
        <v>70</v>
      </c>
      <c r="AV15" s="25">
        <f t="shared" si="3"/>
        <v>31.25</v>
      </c>
      <c r="AW15" s="41"/>
      <c r="AX15" s="41"/>
      <c r="AY15" s="16">
        <f t="shared" si="0"/>
        <v>0</v>
      </c>
      <c r="AZ15" s="16">
        <f t="shared" ref="AZ15:AZ53" si="25">50+(AY15/$AY$13)*50</f>
        <v>50</v>
      </c>
      <c r="BA15" s="7">
        <f t="shared" ref="BA15:BA53" si="26">AZ15*$BA$13</f>
        <v>0</v>
      </c>
      <c r="BB15" s="41"/>
      <c r="BC15" s="7">
        <f t="shared" ref="BC15:BC53" si="27">IFERROR(BB15/$T$13*100,0)</f>
        <v>0</v>
      </c>
      <c r="BD15" s="23">
        <f>IF(BB15="A",0,VLOOKUP(BC15,'Transmutation Table'!$A$2:$B$32,2))</f>
        <v>70</v>
      </c>
      <c r="BE15" s="7">
        <f t="shared" ref="BE15:BE53" si="28">BD15*$BE$13</f>
        <v>0</v>
      </c>
      <c r="BF15" s="41"/>
      <c r="BG15" s="7">
        <f t="shared" ref="BG15:BG53" si="29">IFERROR(BF15/$X$13*100,0)</f>
        <v>0</v>
      </c>
      <c r="BH15" s="23">
        <f>IF(BF15="A",0,VLOOKUP(BG15,'Transmutation Table'!$A$2:$B$32,2))</f>
        <v>70</v>
      </c>
      <c r="BI15" s="7">
        <f t="shared" ref="BI15:BI53" si="30">BH15*$BI$13</f>
        <v>0</v>
      </c>
      <c r="BJ15" s="41"/>
      <c r="BK15" s="7">
        <f>IFERROR(BJ15/#REF!*100,0)</f>
        <v>0</v>
      </c>
      <c r="BL15" s="23">
        <f>IF(BJ15="A",0,VLOOKUP(BK15,'Transmutation Table'!$A$2:$B$32,2))</f>
        <v>70</v>
      </c>
      <c r="BM15" s="7">
        <f t="shared" ref="BM15:BM53" si="31">BL15*$BM$13</f>
        <v>0</v>
      </c>
      <c r="BN15" s="7">
        <f t="shared" ref="BN15:BN53" si="32">SUM(BE15,BI15,BM15)</f>
        <v>0</v>
      </c>
      <c r="BO15" s="7">
        <f t="shared" ref="BO15:BO53" si="33">AVERAGE(AY15)</f>
        <v>0</v>
      </c>
      <c r="BP15" s="7">
        <v>0</v>
      </c>
      <c r="BQ15" s="13">
        <f t="shared" ref="BQ15:BQ22" si="34">SUM(BA15,BN15)</f>
        <v>0</v>
      </c>
      <c r="BR15" s="7">
        <f t="shared" si="4"/>
        <v>71.5</v>
      </c>
      <c r="BS15" s="23">
        <f>IFERROR(VLOOKUP(BR15,'Transmutation Table'!$B$2:$V$32,2),5)</f>
        <v>5</v>
      </c>
      <c r="BT15" s="19" t="str">
        <f t="shared" ref="BT15:BT53" si="35">IF(BR15&gt;=75,"PASSED","FAILED")</f>
        <v>FAILED</v>
      </c>
    </row>
    <row r="16" spans="1:77" ht="14.4" customHeight="1" x14ac:dyDescent="0.25">
      <c r="A16" s="8">
        <v>3</v>
      </c>
      <c r="B16" s="74" t="s">
        <v>68</v>
      </c>
      <c r="C16" s="75"/>
      <c r="D16" s="47"/>
      <c r="E16" s="14" t="str">
        <f t="shared" si="5"/>
        <v>/10</v>
      </c>
      <c r="F16" s="27">
        <f>IFERROR(VLOOKUP((D16/$F$12)*100,'Transmutation Table'!$A$2:$B$32,2),0)</f>
        <v>70</v>
      </c>
      <c r="G16" s="12">
        <f t="shared" si="6"/>
        <v>40.25</v>
      </c>
      <c r="H16" s="18"/>
      <c r="I16" s="18"/>
      <c r="J16" s="18"/>
      <c r="K16" s="18"/>
      <c r="L16" s="18"/>
      <c r="M16" s="18"/>
      <c r="N16" s="18"/>
      <c r="O16" s="17">
        <f t="shared" si="7"/>
        <v>0</v>
      </c>
      <c r="P16" s="17">
        <f t="shared" si="8"/>
        <v>0</v>
      </c>
      <c r="Q16" s="7">
        <f t="shared" si="9"/>
        <v>0</v>
      </c>
      <c r="R16" s="7">
        <f t="shared" si="10"/>
        <v>100</v>
      </c>
      <c r="S16" s="44">
        <f t="shared" si="11"/>
        <v>5</v>
      </c>
      <c r="T16" s="41"/>
      <c r="U16" s="7">
        <f t="shared" si="12"/>
        <v>0</v>
      </c>
      <c r="V16" s="23">
        <f>IF(T16="A",0,VLOOKUP(U16,'Transmutation Table'!$A$2:$B$32,2))</f>
        <v>70</v>
      </c>
      <c r="W16" s="7">
        <f t="shared" si="13"/>
        <v>3.2083333333333335</v>
      </c>
      <c r="X16" s="41"/>
      <c r="Y16" s="7">
        <f t="shared" si="14"/>
        <v>0</v>
      </c>
      <c r="Z16" s="23">
        <f>IF(X16="A",0,VLOOKUP(Y16,'Transmutation Table'!$A$2:$B$32,2))</f>
        <v>70</v>
      </c>
      <c r="AA16" s="7">
        <f t="shared" si="15"/>
        <v>3.2083333333333335</v>
      </c>
      <c r="AB16" s="41"/>
      <c r="AC16" s="7">
        <f t="shared" si="16"/>
        <v>0</v>
      </c>
      <c r="AD16" s="23">
        <f>IF(AB16="A",0,VLOOKUP(AC16,'Transmutation Table'!$A$2:$B$32,2))</f>
        <v>70</v>
      </c>
      <c r="AE16" s="7">
        <f t="shared" si="17"/>
        <v>3.2083333333333335</v>
      </c>
      <c r="AF16" s="17">
        <f t="shared" si="18"/>
        <v>9.625</v>
      </c>
      <c r="AG16" s="41"/>
      <c r="AH16" s="7">
        <f t="shared" si="19"/>
        <v>0</v>
      </c>
      <c r="AI16" s="23">
        <f>IF(AG16="A",0,VLOOKUP(AH16,'Transmutation Table'!$A$2:$B$32,2))</f>
        <v>70</v>
      </c>
      <c r="AJ16" s="7">
        <f t="shared" si="20"/>
        <v>5.5416666666666661</v>
      </c>
      <c r="AK16" s="41"/>
      <c r="AL16" s="7">
        <f t="shared" si="21"/>
        <v>0</v>
      </c>
      <c r="AM16" s="23">
        <f>IF(AK16="A",0,VLOOKUP(AL16,'Transmutation Table'!$A$2:$B$32,2))</f>
        <v>70</v>
      </c>
      <c r="AN16" s="7">
        <f t="shared" si="22"/>
        <v>5.5416666666666661</v>
      </c>
      <c r="AO16" s="41"/>
      <c r="AP16" s="7">
        <f t="shared" si="23"/>
        <v>0</v>
      </c>
      <c r="AQ16" s="23">
        <f>IF(AO16="A",0,VLOOKUP(AP16,'Transmutation Table'!$A$2:$B$32,2))</f>
        <v>70</v>
      </c>
      <c r="AR16" s="7">
        <f t="shared" si="24"/>
        <v>5.5416666666666661</v>
      </c>
      <c r="AS16" s="17">
        <f t="shared" si="1"/>
        <v>16.625</v>
      </c>
      <c r="AT16" s="7">
        <f t="shared" si="2"/>
        <v>0</v>
      </c>
      <c r="AU16" s="7">
        <f t="shared" si="2"/>
        <v>70</v>
      </c>
      <c r="AV16" s="25">
        <f t="shared" si="3"/>
        <v>31.25</v>
      </c>
      <c r="AW16" s="41"/>
      <c r="AX16" s="41"/>
      <c r="AY16" s="16">
        <f t="shared" si="0"/>
        <v>0</v>
      </c>
      <c r="AZ16" s="16">
        <f t="shared" si="25"/>
        <v>50</v>
      </c>
      <c r="BA16" s="7">
        <f t="shared" si="26"/>
        <v>0</v>
      </c>
      <c r="BB16" s="41"/>
      <c r="BC16" s="7">
        <f t="shared" si="27"/>
        <v>0</v>
      </c>
      <c r="BD16" s="23">
        <f>IF(BB16="A",0,VLOOKUP(BC16,'Transmutation Table'!$A$2:$B$32,2))</f>
        <v>70</v>
      </c>
      <c r="BE16" s="7">
        <f t="shared" si="28"/>
        <v>0</v>
      </c>
      <c r="BF16" s="41"/>
      <c r="BG16" s="7">
        <f t="shared" si="29"/>
        <v>0</v>
      </c>
      <c r="BH16" s="23">
        <f>IF(BF16="A",0,VLOOKUP(BG16,'Transmutation Table'!$A$2:$B$32,2))</f>
        <v>70</v>
      </c>
      <c r="BI16" s="7">
        <f t="shared" si="30"/>
        <v>0</v>
      </c>
      <c r="BJ16" s="41"/>
      <c r="BK16" s="7">
        <f>IFERROR(BJ16/#REF!*100,0)</f>
        <v>0</v>
      </c>
      <c r="BL16" s="23">
        <f>IF(BJ16="A",0,VLOOKUP(BK16,'Transmutation Table'!$A$2:$B$32,2))</f>
        <v>70</v>
      </c>
      <c r="BM16" s="7">
        <f t="shared" si="31"/>
        <v>0</v>
      </c>
      <c r="BN16" s="7">
        <f t="shared" si="32"/>
        <v>0</v>
      </c>
      <c r="BO16" s="7">
        <f t="shared" si="33"/>
        <v>0</v>
      </c>
      <c r="BP16" s="7">
        <v>0</v>
      </c>
      <c r="BQ16" s="13">
        <f t="shared" si="34"/>
        <v>0</v>
      </c>
      <c r="BR16" s="7">
        <f t="shared" si="4"/>
        <v>71.5</v>
      </c>
      <c r="BS16" s="23">
        <f>IFERROR(VLOOKUP(BR16,'Transmutation Table'!$B$2:$V$32,2),5)</f>
        <v>5</v>
      </c>
      <c r="BT16" s="19" t="str">
        <f t="shared" si="35"/>
        <v>FAILED</v>
      </c>
    </row>
    <row r="17" spans="1:72" ht="14.4" customHeight="1" x14ac:dyDescent="0.25">
      <c r="A17" s="8">
        <v>4</v>
      </c>
      <c r="B17" s="74" t="s">
        <v>69</v>
      </c>
      <c r="C17" s="75"/>
      <c r="D17" s="47"/>
      <c r="E17" s="14" t="str">
        <f t="shared" si="5"/>
        <v>/10</v>
      </c>
      <c r="F17" s="27">
        <f>IFERROR(VLOOKUP((D17/$F$12)*100,'Transmutation Table'!$A$2:$B$32,2),0)</f>
        <v>70</v>
      </c>
      <c r="G17" s="12">
        <f t="shared" si="6"/>
        <v>40.25</v>
      </c>
      <c r="H17" s="18"/>
      <c r="I17" s="18"/>
      <c r="J17" s="18"/>
      <c r="K17" s="18"/>
      <c r="L17" s="18"/>
      <c r="M17" s="18"/>
      <c r="N17" s="18"/>
      <c r="O17" s="17">
        <f t="shared" si="7"/>
        <v>0</v>
      </c>
      <c r="P17" s="17">
        <f t="shared" si="8"/>
        <v>0</v>
      </c>
      <c r="Q17" s="7">
        <f t="shared" si="9"/>
        <v>0</v>
      </c>
      <c r="R17" s="7">
        <f t="shared" si="10"/>
        <v>100</v>
      </c>
      <c r="S17" s="44">
        <f t="shared" si="11"/>
        <v>5</v>
      </c>
      <c r="T17" s="41"/>
      <c r="U17" s="7">
        <f t="shared" si="12"/>
        <v>0</v>
      </c>
      <c r="V17" s="23">
        <f>IF(T17="A",0,VLOOKUP(U17,'Transmutation Table'!$A$2:$B$32,2))</f>
        <v>70</v>
      </c>
      <c r="W17" s="7">
        <f t="shared" si="13"/>
        <v>3.2083333333333335</v>
      </c>
      <c r="X17" s="41"/>
      <c r="Y17" s="7">
        <f t="shared" si="14"/>
        <v>0</v>
      </c>
      <c r="Z17" s="23">
        <f>IF(X17="A",0,VLOOKUP(Y17,'Transmutation Table'!$A$2:$B$32,2))</f>
        <v>70</v>
      </c>
      <c r="AA17" s="7">
        <f t="shared" si="15"/>
        <v>3.2083333333333335</v>
      </c>
      <c r="AB17" s="41"/>
      <c r="AC17" s="7">
        <f t="shared" si="16"/>
        <v>0</v>
      </c>
      <c r="AD17" s="23">
        <f>IF(AB17="A",0,VLOOKUP(AC17,'Transmutation Table'!$A$2:$B$32,2))</f>
        <v>70</v>
      </c>
      <c r="AE17" s="7">
        <f t="shared" si="17"/>
        <v>3.2083333333333335</v>
      </c>
      <c r="AF17" s="17">
        <f t="shared" si="18"/>
        <v>9.625</v>
      </c>
      <c r="AG17" s="41"/>
      <c r="AH17" s="7">
        <f t="shared" si="19"/>
        <v>0</v>
      </c>
      <c r="AI17" s="23">
        <f>IF(AG17="A",0,VLOOKUP(AH17,'Transmutation Table'!$A$2:$B$32,2))</f>
        <v>70</v>
      </c>
      <c r="AJ17" s="7">
        <f t="shared" si="20"/>
        <v>5.5416666666666661</v>
      </c>
      <c r="AK17" s="41"/>
      <c r="AL17" s="7">
        <f t="shared" si="21"/>
        <v>0</v>
      </c>
      <c r="AM17" s="23">
        <f>IF(AK17="A",0,VLOOKUP(AL17,'Transmutation Table'!$A$2:$B$32,2))</f>
        <v>70</v>
      </c>
      <c r="AN17" s="7">
        <f t="shared" si="22"/>
        <v>5.5416666666666661</v>
      </c>
      <c r="AO17" s="41"/>
      <c r="AP17" s="7">
        <f t="shared" si="23"/>
        <v>0</v>
      </c>
      <c r="AQ17" s="23">
        <f>IF(AO17="A",0,VLOOKUP(AP17,'Transmutation Table'!$A$2:$B$32,2))</f>
        <v>70</v>
      </c>
      <c r="AR17" s="7">
        <f t="shared" si="24"/>
        <v>5.5416666666666661</v>
      </c>
      <c r="AS17" s="17">
        <f t="shared" si="1"/>
        <v>16.625</v>
      </c>
      <c r="AT17" s="7">
        <f t="shared" si="2"/>
        <v>0</v>
      </c>
      <c r="AU17" s="7">
        <f t="shared" si="2"/>
        <v>70</v>
      </c>
      <c r="AV17" s="25">
        <f t="shared" si="3"/>
        <v>31.25</v>
      </c>
      <c r="AW17" s="41"/>
      <c r="AX17" s="41"/>
      <c r="AY17" s="16">
        <f t="shared" si="0"/>
        <v>0</v>
      </c>
      <c r="AZ17" s="16">
        <f t="shared" si="25"/>
        <v>50</v>
      </c>
      <c r="BA17" s="7">
        <f t="shared" si="26"/>
        <v>0</v>
      </c>
      <c r="BB17" s="41"/>
      <c r="BC17" s="7">
        <f t="shared" si="27"/>
        <v>0</v>
      </c>
      <c r="BD17" s="23">
        <f>IF(BB17="A",0,VLOOKUP(BC17,'Transmutation Table'!$A$2:$B$32,2))</f>
        <v>70</v>
      </c>
      <c r="BE17" s="7">
        <f t="shared" si="28"/>
        <v>0</v>
      </c>
      <c r="BF17" s="41"/>
      <c r="BG17" s="7">
        <f t="shared" si="29"/>
        <v>0</v>
      </c>
      <c r="BH17" s="23">
        <f>IF(BF17="A",0,VLOOKUP(BG17,'Transmutation Table'!$A$2:$B$32,2))</f>
        <v>70</v>
      </c>
      <c r="BI17" s="7">
        <f t="shared" si="30"/>
        <v>0</v>
      </c>
      <c r="BJ17" s="41"/>
      <c r="BK17" s="7">
        <f>IFERROR(BJ17/#REF!*100,0)</f>
        <v>0</v>
      </c>
      <c r="BL17" s="23">
        <f>IF(BJ17="A",0,VLOOKUP(BK17,'Transmutation Table'!$A$2:$B$32,2))</f>
        <v>70</v>
      </c>
      <c r="BM17" s="7">
        <f t="shared" si="31"/>
        <v>0</v>
      </c>
      <c r="BN17" s="7">
        <f t="shared" si="32"/>
        <v>0</v>
      </c>
      <c r="BO17" s="7">
        <f t="shared" si="33"/>
        <v>0</v>
      </c>
      <c r="BP17" s="7">
        <v>0</v>
      </c>
      <c r="BQ17" s="13">
        <f t="shared" si="34"/>
        <v>0</v>
      </c>
      <c r="BR17" s="7">
        <f t="shared" si="4"/>
        <v>71.5</v>
      </c>
      <c r="BS17" s="23">
        <f>IFERROR(VLOOKUP(BR17,'Transmutation Table'!$B$2:$V$32,2),5)</f>
        <v>5</v>
      </c>
      <c r="BT17" s="19" t="str">
        <f t="shared" si="35"/>
        <v>FAILED</v>
      </c>
    </row>
    <row r="18" spans="1:72" ht="14.4" customHeight="1" x14ac:dyDescent="0.25">
      <c r="A18" s="8">
        <v>5</v>
      </c>
      <c r="B18" s="74" t="s">
        <v>70</v>
      </c>
      <c r="C18" s="75"/>
      <c r="D18" s="47"/>
      <c r="E18" s="14" t="str">
        <f t="shared" si="5"/>
        <v>/10</v>
      </c>
      <c r="F18" s="27">
        <f>IFERROR(VLOOKUP((D18/$F$12)*100,'Transmutation Table'!$A$2:$B$32,2),0)</f>
        <v>70</v>
      </c>
      <c r="G18" s="12">
        <f t="shared" si="6"/>
        <v>40.25</v>
      </c>
      <c r="H18" s="18"/>
      <c r="I18" s="18"/>
      <c r="J18" s="18"/>
      <c r="K18" s="18"/>
      <c r="L18" s="18"/>
      <c r="M18" s="18"/>
      <c r="N18" s="18"/>
      <c r="O18" s="17">
        <f t="shared" si="7"/>
        <v>0</v>
      </c>
      <c r="P18" s="17">
        <f t="shared" si="8"/>
        <v>0</v>
      </c>
      <c r="Q18" s="7">
        <f t="shared" si="9"/>
        <v>0</v>
      </c>
      <c r="R18" s="7">
        <f t="shared" si="10"/>
        <v>100</v>
      </c>
      <c r="S18" s="44">
        <f t="shared" si="11"/>
        <v>5</v>
      </c>
      <c r="T18" s="41"/>
      <c r="U18" s="7">
        <f t="shared" si="12"/>
        <v>0</v>
      </c>
      <c r="V18" s="23">
        <f>IF(T18="A",0,VLOOKUP(U18,'Transmutation Table'!$A$2:$B$32,2))</f>
        <v>70</v>
      </c>
      <c r="W18" s="7">
        <f t="shared" si="13"/>
        <v>3.2083333333333335</v>
      </c>
      <c r="X18" s="41"/>
      <c r="Y18" s="7">
        <f t="shared" si="14"/>
        <v>0</v>
      </c>
      <c r="Z18" s="23">
        <f>IF(X18="A",0,VLOOKUP(Y18,'Transmutation Table'!$A$2:$B$32,2))</f>
        <v>70</v>
      </c>
      <c r="AA18" s="7">
        <f t="shared" si="15"/>
        <v>3.2083333333333335</v>
      </c>
      <c r="AB18" s="41"/>
      <c r="AC18" s="7">
        <f t="shared" si="16"/>
        <v>0</v>
      </c>
      <c r="AD18" s="23">
        <f>IF(AB18="A",0,VLOOKUP(AC18,'Transmutation Table'!$A$2:$B$32,2))</f>
        <v>70</v>
      </c>
      <c r="AE18" s="7">
        <f t="shared" si="17"/>
        <v>3.2083333333333335</v>
      </c>
      <c r="AF18" s="17">
        <f t="shared" si="18"/>
        <v>9.625</v>
      </c>
      <c r="AG18" s="41"/>
      <c r="AH18" s="7">
        <f t="shared" si="19"/>
        <v>0</v>
      </c>
      <c r="AI18" s="23">
        <f>IF(AG18="A",0,VLOOKUP(AH18,'Transmutation Table'!$A$2:$B$32,2))</f>
        <v>70</v>
      </c>
      <c r="AJ18" s="7">
        <f t="shared" si="20"/>
        <v>5.5416666666666661</v>
      </c>
      <c r="AK18" s="41"/>
      <c r="AL18" s="7">
        <f t="shared" si="21"/>
        <v>0</v>
      </c>
      <c r="AM18" s="23">
        <f>IF(AK18="A",0,VLOOKUP(AL18,'Transmutation Table'!$A$2:$B$32,2))</f>
        <v>70</v>
      </c>
      <c r="AN18" s="7">
        <f t="shared" si="22"/>
        <v>5.5416666666666661</v>
      </c>
      <c r="AO18" s="41"/>
      <c r="AP18" s="7">
        <f t="shared" si="23"/>
        <v>0</v>
      </c>
      <c r="AQ18" s="23">
        <f>IF(AO18="A",0,VLOOKUP(AP18,'Transmutation Table'!$A$2:$B$32,2))</f>
        <v>70</v>
      </c>
      <c r="AR18" s="7">
        <f t="shared" si="24"/>
        <v>5.5416666666666661</v>
      </c>
      <c r="AS18" s="17">
        <f t="shared" si="1"/>
        <v>16.625</v>
      </c>
      <c r="AT18" s="7">
        <f t="shared" si="2"/>
        <v>0</v>
      </c>
      <c r="AU18" s="7">
        <f t="shared" si="2"/>
        <v>70</v>
      </c>
      <c r="AV18" s="25">
        <f t="shared" si="3"/>
        <v>31.25</v>
      </c>
      <c r="AW18" s="41"/>
      <c r="AX18" s="41"/>
      <c r="AY18" s="16">
        <f t="shared" si="0"/>
        <v>0</v>
      </c>
      <c r="AZ18" s="16">
        <f t="shared" si="25"/>
        <v>50</v>
      </c>
      <c r="BA18" s="7">
        <f t="shared" si="26"/>
        <v>0</v>
      </c>
      <c r="BB18" s="41"/>
      <c r="BC18" s="7">
        <f t="shared" si="27"/>
        <v>0</v>
      </c>
      <c r="BD18" s="23">
        <f>IF(BB18="A",0,VLOOKUP(BC18,'Transmutation Table'!$A$2:$B$32,2))</f>
        <v>70</v>
      </c>
      <c r="BE18" s="7">
        <f t="shared" si="28"/>
        <v>0</v>
      </c>
      <c r="BF18" s="41"/>
      <c r="BG18" s="7">
        <f t="shared" si="29"/>
        <v>0</v>
      </c>
      <c r="BH18" s="23">
        <f>IF(BF18="A",0,VLOOKUP(BG18,'Transmutation Table'!$A$2:$B$32,2))</f>
        <v>70</v>
      </c>
      <c r="BI18" s="7">
        <f t="shared" si="30"/>
        <v>0</v>
      </c>
      <c r="BJ18" s="41"/>
      <c r="BK18" s="7">
        <f>IFERROR(BJ18/#REF!*100,0)</f>
        <v>0</v>
      </c>
      <c r="BL18" s="23">
        <f>IF(BJ18="A",0,VLOOKUP(BK18,'Transmutation Table'!$A$2:$B$32,2))</f>
        <v>70</v>
      </c>
      <c r="BM18" s="7">
        <f t="shared" si="31"/>
        <v>0</v>
      </c>
      <c r="BN18" s="7">
        <f t="shared" si="32"/>
        <v>0</v>
      </c>
      <c r="BO18" s="7">
        <f t="shared" si="33"/>
        <v>0</v>
      </c>
      <c r="BP18" s="7">
        <v>0</v>
      </c>
      <c r="BQ18" s="13">
        <f t="shared" si="34"/>
        <v>0</v>
      </c>
      <c r="BR18" s="7">
        <f t="shared" si="4"/>
        <v>71.5</v>
      </c>
      <c r="BS18" s="23">
        <f>IFERROR(VLOOKUP(BR18,'Transmutation Table'!$B$2:$V$32,2),5)</f>
        <v>5</v>
      </c>
      <c r="BT18" s="19" t="str">
        <f t="shared" si="35"/>
        <v>FAILED</v>
      </c>
    </row>
    <row r="19" spans="1:72" ht="14.4" customHeight="1" x14ac:dyDescent="0.25">
      <c r="A19" s="8">
        <v>6</v>
      </c>
      <c r="B19" s="74" t="s">
        <v>71</v>
      </c>
      <c r="C19" s="75"/>
      <c r="D19" s="47"/>
      <c r="E19" s="14" t="str">
        <f t="shared" si="5"/>
        <v>/10</v>
      </c>
      <c r="F19" s="27">
        <f>IFERROR(VLOOKUP((D19/$F$12)*100,'Transmutation Table'!$A$2:$B$32,2),0)</f>
        <v>70</v>
      </c>
      <c r="G19" s="12">
        <f t="shared" si="6"/>
        <v>40.25</v>
      </c>
      <c r="H19" s="18"/>
      <c r="I19" s="18"/>
      <c r="J19" s="18"/>
      <c r="K19" s="18"/>
      <c r="L19" s="18"/>
      <c r="M19" s="18"/>
      <c r="N19" s="18"/>
      <c r="O19" s="17">
        <f t="shared" si="7"/>
        <v>0</v>
      </c>
      <c r="P19" s="17">
        <f t="shared" si="8"/>
        <v>0</v>
      </c>
      <c r="Q19" s="7">
        <f t="shared" si="9"/>
        <v>0</v>
      </c>
      <c r="R19" s="7">
        <f t="shared" si="10"/>
        <v>100</v>
      </c>
      <c r="S19" s="44">
        <f t="shared" si="11"/>
        <v>5</v>
      </c>
      <c r="T19" s="41"/>
      <c r="U19" s="7">
        <f t="shared" si="12"/>
        <v>0</v>
      </c>
      <c r="V19" s="23">
        <f>IF(T19="A",0,VLOOKUP(U19,'Transmutation Table'!$A$2:$B$32,2))</f>
        <v>70</v>
      </c>
      <c r="W19" s="7">
        <f t="shared" si="13"/>
        <v>3.2083333333333335</v>
      </c>
      <c r="X19" s="41"/>
      <c r="Y19" s="7">
        <f t="shared" si="14"/>
        <v>0</v>
      </c>
      <c r="Z19" s="23">
        <f>IF(X19="A",0,VLOOKUP(Y19,'Transmutation Table'!$A$2:$B$32,2))</f>
        <v>70</v>
      </c>
      <c r="AA19" s="7">
        <f t="shared" si="15"/>
        <v>3.2083333333333335</v>
      </c>
      <c r="AB19" s="41"/>
      <c r="AC19" s="7">
        <f t="shared" si="16"/>
        <v>0</v>
      </c>
      <c r="AD19" s="23">
        <f>IF(AB19="A",0,VLOOKUP(AC19,'Transmutation Table'!$A$2:$B$32,2))</f>
        <v>70</v>
      </c>
      <c r="AE19" s="7">
        <f t="shared" si="17"/>
        <v>3.2083333333333335</v>
      </c>
      <c r="AF19" s="17">
        <f t="shared" si="18"/>
        <v>9.625</v>
      </c>
      <c r="AG19" s="41"/>
      <c r="AH19" s="7">
        <f t="shared" si="19"/>
        <v>0</v>
      </c>
      <c r="AI19" s="23">
        <f>IF(AG19="A",0,VLOOKUP(AH19,'Transmutation Table'!$A$2:$B$32,2))</f>
        <v>70</v>
      </c>
      <c r="AJ19" s="7">
        <f t="shared" si="20"/>
        <v>5.5416666666666661</v>
      </c>
      <c r="AK19" s="41"/>
      <c r="AL19" s="7">
        <f t="shared" si="21"/>
        <v>0</v>
      </c>
      <c r="AM19" s="23">
        <f>IF(AK19="A",0,VLOOKUP(AL19,'Transmutation Table'!$A$2:$B$32,2))</f>
        <v>70</v>
      </c>
      <c r="AN19" s="7">
        <f t="shared" si="22"/>
        <v>5.5416666666666661</v>
      </c>
      <c r="AO19" s="41"/>
      <c r="AP19" s="7">
        <f t="shared" si="23"/>
        <v>0</v>
      </c>
      <c r="AQ19" s="23">
        <f>IF(AO19="A",0,VLOOKUP(AP19,'Transmutation Table'!$A$2:$B$32,2))</f>
        <v>70</v>
      </c>
      <c r="AR19" s="7">
        <f t="shared" si="24"/>
        <v>5.5416666666666661</v>
      </c>
      <c r="AS19" s="17">
        <f t="shared" si="1"/>
        <v>16.625</v>
      </c>
      <c r="AT19" s="7">
        <f t="shared" si="2"/>
        <v>0</v>
      </c>
      <c r="AU19" s="7">
        <f t="shared" si="2"/>
        <v>70</v>
      </c>
      <c r="AV19" s="25">
        <f t="shared" si="3"/>
        <v>31.25</v>
      </c>
      <c r="AW19" s="41"/>
      <c r="AX19" s="41"/>
      <c r="AY19" s="16">
        <f t="shared" si="0"/>
        <v>0</v>
      </c>
      <c r="AZ19" s="16">
        <f t="shared" si="25"/>
        <v>50</v>
      </c>
      <c r="BA19" s="7">
        <f t="shared" si="26"/>
        <v>0</v>
      </c>
      <c r="BB19" s="41"/>
      <c r="BC19" s="7">
        <f t="shared" si="27"/>
        <v>0</v>
      </c>
      <c r="BD19" s="23">
        <f>IF(BB19="A",0,VLOOKUP(BC19,'Transmutation Table'!$A$2:$B$32,2))</f>
        <v>70</v>
      </c>
      <c r="BE19" s="7">
        <f t="shared" si="28"/>
        <v>0</v>
      </c>
      <c r="BF19" s="41"/>
      <c r="BG19" s="7">
        <f t="shared" si="29"/>
        <v>0</v>
      </c>
      <c r="BH19" s="23">
        <f>IF(BF19="A",0,VLOOKUP(BG19,'Transmutation Table'!$A$2:$B$32,2))</f>
        <v>70</v>
      </c>
      <c r="BI19" s="7">
        <f t="shared" si="30"/>
        <v>0</v>
      </c>
      <c r="BJ19" s="41"/>
      <c r="BK19" s="7">
        <f>IFERROR(BJ19/#REF!*100,0)</f>
        <v>0</v>
      </c>
      <c r="BL19" s="23">
        <f>IF(BJ19="A",0,VLOOKUP(BK19,'Transmutation Table'!$A$2:$B$32,2))</f>
        <v>70</v>
      </c>
      <c r="BM19" s="7">
        <f t="shared" si="31"/>
        <v>0</v>
      </c>
      <c r="BN19" s="7">
        <f t="shared" si="32"/>
        <v>0</v>
      </c>
      <c r="BO19" s="7">
        <f t="shared" si="33"/>
        <v>0</v>
      </c>
      <c r="BP19" s="7">
        <v>0</v>
      </c>
      <c r="BQ19" s="13">
        <f t="shared" si="34"/>
        <v>0</v>
      </c>
      <c r="BR19" s="7">
        <f t="shared" si="4"/>
        <v>71.5</v>
      </c>
      <c r="BS19" s="23">
        <f>IFERROR(VLOOKUP(BR19,'Transmutation Table'!$B$2:$V$32,2),5)</f>
        <v>5</v>
      </c>
      <c r="BT19" s="19" t="str">
        <f t="shared" si="35"/>
        <v>FAILED</v>
      </c>
    </row>
    <row r="20" spans="1:72" ht="14.4" customHeight="1" x14ac:dyDescent="0.25">
      <c r="A20" s="8">
        <v>7</v>
      </c>
      <c r="B20" s="74" t="s">
        <v>72</v>
      </c>
      <c r="C20" s="75"/>
      <c r="D20" s="47"/>
      <c r="E20" s="14" t="str">
        <f t="shared" si="5"/>
        <v>/10</v>
      </c>
      <c r="F20" s="27">
        <f>IFERROR(VLOOKUP((D20/$F$12)*100,'Transmutation Table'!$A$2:$B$32,2),0)</f>
        <v>70</v>
      </c>
      <c r="G20" s="12">
        <f t="shared" si="6"/>
        <v>40.25</v>
      </c>
      <c r="H20" s="18"/>
      <c r="I20" s="18"/>
      <c r="J20" s="18"/>
      <c r="K20" s="18"/>
      <c r="L20" s="18"/>
      <c r="M20" s="18"/>
      <c r="N20" s="18"/>
      <c r="O20" s="17">
        <f t="shared" si="7"/>
        <v>0</v>
      </c>
      <c r="P20" s="17">
        <f t="shared" si="8"/>
        <v>0</v>
      </c>
      <c r="Q20" s="7">
        <f t="shared" si="9"/>
        <v>0</v>
      </c>
      <c r="R20" s="7">
        <f t="shared" si="10"/>
        <v>100</v>
      </c>
      <c r="S20" s="44">
        <f t="shared" si="11"/>
        <v>5</v>
      </c>
      <c r="T20" s="41"/>
      <c r="U20" s="7">
        <f t="shared" si="12"/>
        <v>0</v>
      </c>
      <c r="V20" s="23">
        <f>IF(T20="A",0,VLOOKUP(U20,'Transmutation Table'!$A$2:$B$32,2))</f>
        <v>70</v>
      </c>
      <c r="W20" s="7">
        <f t="shared" si="13"/>
        <v>3.2083333333333335</v>
      </c>
      <c r="X20" s="41"/>
      <c r="Y20" s="7">
        <f t="shared" si="14"/>
        <v>0</v>
      </c>
      <c r="Z20" s="23">
        <f>IF(X20="A",0,VLOOKUP(Y20,'Transmutation Table'!$A$2:$B$32,2))</f>
        <v>70</v>
      </c>
      <c r="AA20" s="7">
        <f t="shared" si="15"/>
        <v>3.2083333333333335</v>
      </c>
      <c r="AB20" s="41"/>
      <c r="AC20" s="7">
        <f t="shared" si="16"/>
        <v>0</v>
      </c>
      <c r="AD20" s="23">
        <f>IF(AB20="A",0,VLOOKUP(AC20,'Transmutation Table'!$A$2:$B$32,2))</f>
        <v>70</v>
      </c>
      <c r="AE20" s="7">
        <f t="shared" si="17"/>
        <v>3.2083333333333335</v>
      </c>
      <c r="AF20" s="17">
        <f t="shared" si="18"/>
        <v>9.625</v>
      </c>
      <c r="AG20" s="41"/>
      <c r="AH20" s="7">
        <f t="shared" si="19"/>
        <v>0</v>
      </c>
      <c r="AI20" s="23">
        <f>IF(AG20="A",0,VLOOKUP(AH20,'Transmutation Table'!$A$2:$B$32,2))</f>
        <v>70</v>
      </c>
      <c r="AJ20" s="7">
        <f t="shared" si="20"/>
        <v>5.5416666666666661</v>
      </c>
      <c r="AK20" s="41"/>
      <c r="AL20" s="7">
        <f t="shared" si="21"/>
        <v>0</v>
      </c>
      <c r="AM20" s="23">
        <f>IF(AK20="A",0,VLOOKUP(AL20,'Transmutation Table'!$A$2:$B$32,2))</f>
        <v>70</v>
      </c>
      <c r="AN20" s="7">
        <f t="shared" si="22"/>
        <v>5.5416666666666661</v>
      </c>
      <c r="AO20" s="41"/>
      <c r="AP20" s="7">
        <f t="shared" si="23"/>
        <v>0</v>
      </c>
      <c r="AQ20" s="23">
        <f>IF(AO20="A",0,VLOOKUP(AP20,'Transmutation Table'!$A$2:$B$32,2))</f>
        <v>70</v>
      </c>
      <c r="AR20" s="7">
        <f t="shared" si="24"/>
        <v>5.5416666666666661</v>
      </c>
      <c r="AS20" s="17">
        <f t="shared" si="1"/>
        <v>16.625</v>
      </c>
      <c r="AT20" s="7">
        <f t="shared" si="2"/>
        <v>0</v>
      </c>
      <c r="AU20" s="7">
        <f t="shared" si="2"/>
        <v>70</v>
      </c>
      <c r="AV20" s="25">
        <f t="shared" si="3"/>
        <v>31.25</v>
      </c>
      <c r="AW20" s="41"/>
      <c r="AX20" s="41"/>
      <c r="AY20" s="16">
        <f t="shared" si="0"/>
        <v>0</v>
      </c>
      <c r="AZ20" s="16">
        <f t="shared" si="25"/>
        <v>50</v>
      </c>
      <c r="BA20" s="7">
        <f t="shared" si="26"/>
        <v>0</v>
      </c>
      <c r="BB20" s="41"/>
      <c r="BC20" s="7">
        <f t="shared" si="27"/>
        <v>0</v>
      </c>
      <c r="BD20" s="23">
        <f>IF(BB20="A",0,VLOOKUP(BC20,'Transmutation Table'!$A$2:$B$32,2))</f>
        <v>70</v>
      </c>
      <c r="BE20" s="7">
        <f t="shared" si="28"/>
        <v>0</v>
      </c>
      <c r="BF20" s="41"/>
      <c r="BG20" s="7">
        <f t="shared" si="29"/>
        <v>0</v>
      </c>
      <c r="BH20" s="23">
        <f>IF(BF20="A",0,VLOOKUP(BG20,'Transmutation Table'!$A$2:$B$32,2))</f>
        <v>70</v>
      </c>
      <c r="BI20" s="7">
        <f t="shared" si="30"/>
        <v>0</v>
      </c>
      <c r="BJ20" s="41"/>
      <c r="BK20" s="7">
        <f>IFERROR(BJ20/#REF!*100,0)</f>
        <v>0</v>
      </c>
      <c r="BL20" s="23">
        <f>IF(BJ20="A",0,VLOOKUP(BK20,'Transmutation Table'!$A$2:$B$32,2))</f>
        <v>70</v>
      </c>
      <c r="BM20" s="7">
        <f t="shared" si="31"/>
        <v>0</v>
      </c>
      <c r="BN20" s="7">
        <f t="shared" si="32"/>
        <v>0</v>
      </c>
      <c r="BO20" s="7">
        <f t="shared" si="33"/>
        <v>0</v>
      </c>
      <c r="BP20" s="7">
        <v>0</v>
      </c>
      <c r="BQ20" s="13">
        <f t="shared" si="34"/>
        <v>0</v>
      </c>
      <c r="BR20" s="7">
        <f t="shared" si="4"/>
        <v>71.5</v>
      </c>
      <c r="BS20" s="23">
        <f>IFERROR(VLOOKUP(BR20,'Transmutation Table'!$B$2:$V$32,2),5)</f>
        <v>5</v>
      </c>
      <c r="BT20" s="19" t="str">
        <f t="shared" si="35"/>
        <v>FAILED</v>
      </c>
    </row>
    <row r="21" spans="1:72" ht="14.4" customHeight="1" x14ac:dyDescent="0.25">
      <c r="A21" s="8">
        <v>8</v>
      </c>
      <c r="B21" s="74" t="s">
        <v>73</v>
      </c>
      <c r="C21" s="75"/>
      <c r="D21" s="47"/>
      <c r="E21" s="14" t="str">
        <f t="shared" si="5"/>
        <v>/10</v>
      </c>
      <c r="F21" s="27">
        <f>IFERROR(VLOOKUP((D21/$F$12)*100,'Transmutation Table'!$A$2:$B$32,2),0)</f>
        <v>70</v>
      </c>
      <c r="G21" s="12">
        <f t="shared" si="6"/>
        <v>40.25</v>
      </c>
      <c r="H21" s="18"/>
      <c r="I21" s="18"/>
      <c r="J21" s="18"/>
      <c r="K21" s="18"/>
      <c r="L21" s="18"/>
      <c r="M21" s="18"/>
      <c r="N21" s="18"/>
      <c r="O21" s="17">
        <f t="shared" si="7"/>
        <v>0</v>
      </c>
      <c r="P21" s="17">
        <f t="shared" si="8"/>
        <v>0</v>
      </c>
      <c r="Q21" s="7">
        <f t="shared" si="9"/>
        <v>0</v>
      </c>
      <c r="R21" s="7">
        <f t="shared" si="10"/>
        <v>100</v>
      </c>
      <c r="S21" s="44">
        <f t="shared" si="11"/>
        <v>5</v>
      </c>
      <c r="T21" s="41"/>
      <c r="U21" s="7">
        <f t="shared" si="12"/>
        <v>0</v>
      </c>
      <c r="V21" s="23">
        <f>IF(T21="A",0,VLOOKUP(U21,'Transmutation Table'!$A$2:$B$32,2))</f>
        <v>70</v>
      </c>
      <c r="W21" s="7">
        <f t="shared" si="13"/>
        <v>3.2083333333333335</v>
      </c>
      <c r="X21" s="41"/>
      <c r="Y21" s="7">
        <f t="shared" si="14"/>
        <v>0</v>
      </c>
      <c r="Z21" s="23">
        <f>IF(X21="A",0,VLOOKUP(Y21,'Transmutation Table'!$A$2:$B$32,2))</f>
        <v>70</v>
      </c>
      <c r="AA21" s="7">
        <f t="shared" si="15"/>
        <v>3.2083333333333335</v>
      </c>
      <c r="AB21" s="41"/>
      <c r="AC21" s="7">
        <f t="shared" si="16"/>
        <v>0</v>
      </c>
      <c r="AD21" s="23">
        <f>IF(AB21="A",0,VLOOKUP(AC21,'Transmutation Table'!$A$2:$B$32,2))</f>
        <v>70</v>
      </c>
      <c r="AE21" s="7">
        <f t="shared" si="17"/>
        <v>3.2083333333333335</v>
      </c>
      <c r="AF21" s="17">
        <f t="shared" si="18"/>
        <v>9.625</v>
      </c>
      <c r="AG21" s="41"/>
      <c r="AH21" s="7">
        <f t="shared" si="19"/>
        <v>0</v>
      </c>
      <c r="AI21" s="23">
        <f>IF(AG21="A",0,VLOOKUP(AH21,'Transmutation Table'!$A$2:$B$32,2))</f>
        <v>70</v>
      </c>
      <c r="AJ21" s="7">
        <f t="shared" si="20"/>
        <v>5.5416666666666661</v>
      </c>
      <c r="AK21" s="41"/>
      <c r="AL21" s="7">
        <f t="shared" si="21"/>
        <v>0</v>
      </c>
      <c r="AM21" s="23">
        <f>IF(AK21="A",0,VLOOKUP(AL21,'Transmutation Table'!$A$2:$B$32,2))</f>
        <v>70</v>
      </c>
      <c r="AN21" s="7">
        <f t="shared" si="22"/>
        <v>5.5416666666666661</v>
      </c>
      <c r="AO21" s="41"/>
      <c r="AP21" s="7">
        <f t="shared" si="23"/>
        <v>0</v>
      </c>
      <c r="AQ21" s="23">
        <f>IF(AO21="A",0,VLOOKUP(AP21,'Transmutation Table'!$A$2:$B$32,2))</f>
        <v>70</v>
      </c>
      <c r="AR21" s="7">
        <f t="shared" si="24"/>
        <v>5.5416666666666661</v>
      </c>
      <c r="AS21" s="17">
        <f t="shared" si="1"/>
        <v>16.625</v>
      </c>
      <c r="AT21" s="7">
        <f t="shared" si="2"/>
        <v>0</v>
      </c>
      <c r="AU21" s="7">
        <f t="shared" si="2"/>
        <v>70</v>
      </c>
      <c r="AV21" s="25">
        <f t="shared" si="3"/>
        <v>31.25</v>
      </c>
      <c r="AW21" s="41"/>
      <c r="AX21" s="41"/>
      <c r="AY21" s="16">
        <f t="shared" si="0"/>
        <v>0</v>
      </c>
      <c r="AZ21" s="16">
        <f t="shared" si="25"/>
        <v>50</v>
      </c>
      <c r="BA21" s="7">
        <f t="shared" si="26"/>
        <v>0</v>
      </c>
      <c r="BB21" s="41"/>
      <c r="BC21" s="7">
        <f t="shared" si="27"/>
        <v>0</v>
      </c>
      <c r="BD21" s="23">
        <f>IF(BB21="A",0,VLOOKUP(BC21,'Transmutation Table'!$A$2:$B$32,2))</f>
        <v>70</v>
      </c>
      <c r="BE21" s="7">
        <f t="shared" si="28"/>
        <v>0</v>
      </c>
      <c r="BF21" s="41"/>
      <c r="BG21" s="7">
        <f t="shared" si="29"/>
        <v>0</v>
      </c>
      <c r="BH21" s="23">
        <f>IF(BF21="A",0,VLOOKUP(BG21,'Transmutation Table'!$A$2:$B$32,2))</f>
        <v>70</v>
      </c>
      <c r="BI21" s="7">
        <f t="shared" si="30"/>
        <v>0</v>
      </c>
      <c r="BJ21" s="41"/>
      <c r="BK21" s="7">
        <f>IFERROR(BJ21/#REF!*100,0)</f>
        <v>0</v>
      </c>
      <c r="BL21" s="23">
        <f>IF(BJ21="A",0,VLOOKUP(BK21,'Transmutation Table'!$A$2:$B$32,2))</f>
        <v>70</v>
      </c>
      <c r="BM21" s="7">
        <f t="shared" si="31"/>
        <v>0</v>
      </c>
      <c r="BN21" s="7">
        <f t="shared" si="32"/>
        <v>0</v>
      </c>
      <c r="BO21" s="7">
        <f t="shared" si="33"/>
        <v>0</v>
      </c>
      <c r="BP21" s="7">
        <v>0</v>
      </c>
      <c r="BQ21" s="13">
        <f t="shared" si="34"/>
        <v>0</v>
      </c>
      <c r="BR21" s="7">
        <f t="shared" si="4"/>
        <v>71.5</v>
      </c>
      <c r="BS21" s="23">
        <f>IFERROR(VLOOKUP(BR21,'Transmutation Table'!$B$2:$V$32,2),5)</f>
        <v>5</v>
      </c>
      <c r="BT21" s="19" t="str">
        <f t="shared" si="35"/>
        <v>FAILED</v>
      </c>
    </row>
    <row r="22" spans="1:72" ht="14.4" customHeight="1" x14ac:dyDescent="0.25">
      <c r="A22" s="8">
        <v>9</v>
      </c>
      <c r="B22" s="74" t="s">
        <v>74</v>
      </c>
      <c r="C22" s="75"/>
      <c r="D22" s="47"/>
      <c r="E22" s="14" t="str">
        <f t="shared" si="5"/>
        <v>/10</v>
      </c>
      <c r="F22" s="27">
        <f>IFERROR(VLOOKUP((D22/$F$12)*100,'Transmutation Table'!$A$2:$B$32,2),0)</f>
        <v>70</v>
      </c>
      <c r="G22" s="12">
        <f t="shared" si="6"/>
        <v>40.25</v>
      </c>
      <c r="H22" s="18"/>
      <c r="I22" s="18"/>
      <c r="J22" s="18"/>
      <c r="K22" s="18"/>
      <c r="L22" s="18"/>
      <c r="M22" s="18"/>
      <c r="N22" s="18"/>
      <c r="O22" s="17">
        <f t="shared" si="7"/>
        <v>0</v>
      </c>
      <c r="P22" s="17">
        <f t="shared" si="8"/>
        <v>0</v>
      </c>
      <c r="Q22" s="7">
        <f t="shared" si="9"/>
        <v>0</v>
      </c>
      <c r="R22" s="7">
        <f t="shared" si="10"/>
        <v>100</v>
      </c>
      <c r="S22" s="44">
        <f t="shared" si="11"/>
        <v>5</v>
      </c>
      <c r="T22" s="41"/>
      <c r="U22" s="7">
        <f t="shared" si="12"/>
        <v>0</v>
      </c>
      <c r="V22" s="23">
        <f>IF(T22="A",0,VLOOKUP(U22,'Transmutation Table'!$A$2:$B$32,2))</f>
        <v>70</v>
      </c>
      <c r="W22" s="7">
        <f t="shared" si="13"/>
        <v>3.2083333333333335</v>
      </c>
      <c r="X22" s="41"/>
      <c r="Y22" s="7">
        <f t="shared" si="14"/>
        <v>0</v>
      </c>
      <c r="Z22" s="23">
        <f>IF(X22="A",0,VLOOKUP(Y22,'Transmutation Table'!$A$2:$B$32,2))</f>
        <v>70</v>
      </c>
      <c r="AA22" s="7">
        <f t="shared" si="15"/>
        <v>3.2083333333333335</v>
      </c>
      <c r="AB22" s="41"/>
      <c r="AC22" s="7">
        <f t="shared" si="16"/>
        <v>0</v>
      </c>
      <c r="AD22" s="23">
        <f>IF(AB22="A",0,VLOOKUP(AC22,'Transmutation Table'!$A$2:$B$32,2))</f>
        <v>70</v>
      </c>
      <c r="AE22" s="7">
        <f t="shared" si="17"/>
        <v>3.2083333333333335</v>
      </c>
      <c r="AF22" s="17">
        <f t="shared" si="18"/>
        <v>9.625</v>
      </c>
      <c r="AG22" s="41"/>
      <c r="AH22" s="7">
        <f t="shared" si="19"/>
        <v>0</v>
      </c>
      <c r="AI22" s="23">
        <f>IF(AG22="A",0,VLOOKUP(AH22,'Transmutation Table'!$A$2:$B$32,2))</f>
        <v>70</v>
      </c>
      <c r="AJ22" s="7">
        <f t="shared" si="20"/>
        <v>5.5416666666666661</v>
      </c>
      <c r="AK22" s="41"/>
      <c r="AL22" s="7">
        <f t="shared" si="21"/>
        <v>0</v>
      </c>
      <c r="AM22" s="23">
        <f>IF(AK22="A",0,VLOOKUP(AL22,'Transmutation Table'!$A$2:$B$32,2))</f>
        <v>70</v>
      </c>
      <c r="AN22" s="7">
        <f t="shared" si="22"/>
        <v>5.5416666666666661</v>
      </c>
      <c r="AO22" s="41"/>
      <c r="AP22" s="7">
        <f t="shared" si="23"/>
        <v>0</v>
      </c>
      <c r="AQ22" s="23">
        <f>IF(AO22="A",0,VLOOKUP(AP22,'Transmutation Table'!$A$2:$B$32,2))</f>
        <v>70</v>
      </c>
      <c r="AR22" s="7">
        <f t="shared" si="24"/>
        <v>5.5416666666666661</v>
      </c>
      <c r="AS22" s="17">
        <f t="shared" si="1"/>
        <v>16.625</v>
      </c>
      <c r="AT22" s="7">
        <f t="shared" si="2"/>
        <v>0</v>
      </c>
      <c r="AU22" s="7">
        <f t="shared" si="2"/>
        <v>70</v>
      </c>
      <c r="AV22" s="25">
        <f t="shared" si="3"/>
        <v>31.25</v>
      </c>
      <c r="AW22" s="41"/>
      <c r="AX22" s="41"/>
      <c r="AY22" s="16">
        <f t="shared" si="0"/>
        <v>0</v>
      </c>
      <c r="AZ22" s="16">
        <f t="shared" si="25"/>
        <v>50</v>
      </c>
      <c r="BA22" s="7">
        <f t="shared" si="26"/>
        <v>0</v>
      </c>
      <c r="BB22" s="41"/>
      <c r="BC22" s="7">
        <f t="shared" si="27"/>
        <v>0</v>
      </c>
      <c r="BD22" s="23">
        <f>IF(BB22="A",0,VLOOKUP(BC22,'Transmutation Table'!$A$2:$B$32,2))</f>
        <v>70</v>
      </c>
      <c r="BE22" s="7">
        <f t="shared" si="28"/>
        <v>0</v>
      </c>
      <c r="BF22" s="41"/>
      <c r="BG22" s="7">
        <f t="shared" si="29"/>
        <v>0</v>
      </c>
      <c r="BH22" s="23">
        <f>IF(BF22="A",0,VLOOKUP(BG22,'Transmutation Table'!$A$2:$B$32,2))</f>
        <v>70</v>
      </c>
      <c r="BI22" s="7">
        <f t="shared" si="30"/>
        <v>0</v>
      </c>
      <c r="BJ22" s="41"/>
      <c r="BK22" s="7">
        <f>IFERROR(BJ22/#REF!*100,0)</f>
        <v>0</v>
      </c>
      <c r="BL22" s="23">
        <f>IF(BJ22="A",0,VLOOKUP(BK22,'Transmutation Table'!$A$2:$B$32,2))</f>
        <v>70</v>
      </c>
      <c r="BM22" s="7">
        <f t="shared" si="31"/>
        <v>0</v>
      </c>
      <c r="BN22" s="7">
        <f t="shared" si="32"/>
        <v>0</v>
      </c>
      <c r="BO22" s="7">
        <f t="shared" si="33"/>
        <v>0</v>
      </c>
      <c r="BP22" s="7">
        <v>0</v>
      </c>
      <c r="BQ22" s="13">
        <f t="shared" si="34"/>
        <v>0</v>
      </c>
      <c r="BR22" s="7">
        <f t="shared" si="4"/>
        <v>71.5</v>
      </c>
      <c r="BS22" s="23">
        <f>IFERROR(VLOOKUP(BR22,'Transmutation Table'!$B$2:$V$32,2),5)</f>
        <v>5</v>
      </c>
      <c r="BT22" s="19" t="str">
        <f t="shared" si="35"/>
        <v>FAILED</v>
      </c>
    </row>
    <row r="23" spans="1:72" ht="14.4" customHeight="1" x14ac:dyDescent="0.25">
      <c r="A23" s="8">
        <v>10</v>
      </c>
      <c r="B23" s="74" t="s">
        <v>75</v>
      </c>
      <c r="C23" s="75"/>
      <c r="D23" s="47"/>
      <c r="E23" s="14" t="str">
        <f t="shared" si="5"/>
        <v>/10</v>
      </c>
      <c r="F23" s="27">
        <f>IFERROR(VLOOKUP((D23/$F$12)*100,'Transmutation Table'!$A$2:$B$32,2),0)</f>
        <v>70</v>
      </c>
      <c r="G23" s="12">
        <f t="shared" si="6"/>
        <v>40.25</v>
      </c>
      <c r="H23" s="18"/>
      <c r="I23" s="18"/>
      <c r="J23" s="18"/>
      <c r="K23" s="18"/>
      <c r="L23" s="18"/>
      <c r="M23" s="18"/>
      <c r="N23" s="18"/>
      <c r="O23" s="17">
        <f t="shared" si="7"/>
        <v>0</v>
      </c>
      <c r="P23" s="17">
        <f t="shared" si="8"/>
        <v>0</v>
      </c>
      <c r="Q23" s="7">
        <f t="shared" si="9"/>
        <v>0</v>
      </c>
      <c r="R23" s="7">
        <f t="shared" si="10"/>
        <v>100</v>
      </c>
      <c r="S23" s="44">
        <f t="shared" si="11"/>
        <v>5</v>
      </c>
      <c r="T23" s="41"/>
      <c r="U23" s="7">
        <f t="shared" si="12"/>
        <v>0</v>
      </c>
      <c r="V23" s="23">
        <f>IF(T23="A",0,VLOOKUP(U23,'Transmutation Table'!$A$2:$B$32,2))</f>
        <v>70</v>
      </c>
      <c r="W23" s="7">
        <f t="shared" si="13"/>
        <v>3.2083333333333335</v>
      </c>
      <c r="X23" s="41"/>
      <c r="Y23" s="7">
        <f t="shared" si="14"/>
        <v>0</v>
      </c>
      <c r="Z23" s="23">
        <f>IF(X23="A",0,VLOOKUP(Y23,'Transmutation Table'!$A$2:$B$32,2))</f>
        <v>70</v>
      </c>
      <c r="AA23" s="7">
        <f t="shared" si="15"/>
        <v>3.2083333333333335</v>
      </c>
      <c r="AB23" s="41"/>
      <c r="AC23" s="7">
        <f t="shared" si="16"/>
        <v>0</v>
      </c>
      <c r="AD23" s="23">
        <f>IF(AB23="A",0,VLOOKUP(AC23,'Transmutation Table'!$A$2:$B$32,2))</f>
        <v>70</v>
      </c>
      <c r="AE23" s="7">
        <f t="shared" si="17"/>
        <v>3.2083333333333335</v>
      </c>
      <c r="AF23" s="17">
        <f t="shared" si="18"/>
        <v>9.625</v>
      </c>
      <c r="AG23" s="41"/>
      <c r="AH23" s="7">
        <f t="shared" si="19"/>
        <v>0</v>
      </c>
      <c r="AI23" s="23">
        <f>IF(AG23="A",0,VLOOKUP(AH23,'Transmutation Table'!$A$2:$B$32,2))</f>
        <v>70</v>
      </c>
      <c r="AJ23" s="7">
        <f t="shared" si="20"/>
        <v>5.5416666666666661</v>
      </c>
      <c r="AK23" s="41"/>
      <c r="AL23" s="7">
        <f t="shared" si="21"/>
        <v>0</v>
      </c>
      <c r="AM23" s="23">
        <f>IF(AK23="A",0,VLOOKUP(AL23,'Transmutation Table'!$A$2:$B$32,2))</f>
        <v>70</v>
      </c>
      <c r="AN23" s="7">
        <f t="shared" si="22"/>
        <v>5.5416666666666661</v>
      </c>
      <c r="AO23" s="41"/>
      <c r="AP23" s="7">
        <f t="shared" si="23"/>
        <v>0</v>
      </c>
      <c r="AQ23" s="23">
        <f>IF(AO23="A",0,VLOOKUP(AP23,'Transmutation Table'!$A$2:$B$32,2))</f>
        <v>70</v>
      </c>
      <c r="AR23" s="7">
        <f t="shared" si="24"/>
        <v>5.5416666666666661</v>
      </c>
      <c r="AS23" s="17">
        <f t="shared" si="1"/>
        <v>16.625</v>
      </c>
      <c r="AT23" s="7">
        <f t="shared" si="2"/>
        <v>0</v>
      </c>
      <c r="AU23" s="7">
        <f t="shared" si="2"/>
        <v>70</v>
      </c>
      <c r="AV23" s="25">
        <f t="shared" si="3"/>
        <v>31.25</v>
      </c>
      <c r="AW23" s="41"/>
      <c r="AX23" s="41"/>
      <c r="AY23" s="16">
        <f t="shared" si="0"/>
        <v>0</v>
      </c>
      <c r="AZ23" s="16">
        <f t="shared" si="25"/>
        <v>50</v>
      </c>
      <c r="BA23" s="7">
        <f t="shared" si="26"/>
        <v>0</v>
      </c>
      <c r="BB23" s="41"/>
      <c r="BC23" s="7">
        <f t="shared" si="27"/>
        <v>0</v>
      </c>
      <c r="BD23" s="23">
        <f>IF(BB23="A",0,VLOOKUP(BC23,'Transmutation Table'!$A$2:$B$32,2))</f>
        <v>70</v>
      </c>
      <c r="BE23" s="7">
        <f t="shared" si="28"/>
        <v>0</v>
      </c>
      <c r="BF23" s="41"/>
      <c r="BG23" s="7">
        <f t="shared" si="29"/>
        <v>0</v>
      </c>
      <c r="BH23" s="23">
        <f>IF(BF23="A",0,VLOOKUP(BG23,'Transmutation Table'!$A$2:$B$32,2))</f>
        <v>70</v>
      </c>
      <c r="BI23" s="7">
        <f t="shared" si="30"/>
        <v>0</v>
      </c>
      <c r="BJ23" s="41"/>
      <c r="BK23" s="7">
        <f>IFERROR(BJ23/#REF!*100,0)</f>
        <v>0</v>
      </c>
      <c r="BL23" s="23">
        <f>IF(BJ23="A",0,VLOOKUP(BK23,'Transmutation Table'!$A$2:$B$32,2))</f>
        <v>70</v>
      </c>
      <c r="BM23" s="7">
        <f t="shared" si="31"/>
        <v>0</v>
      </c>
      <c r="BN23" s="7">
        <f t="shared" si="32"/>
        <v>0</v>
      </c>
      <c r="BO23" s="7">
        <f>AVERAGE(AY23)</f>
        <v>0</v>
      </c>
      <c r="BP23" s="7">
        <v>0</v>
      </c>
      <c r="BQ23" s="13">
        <f>SUM(BA23,BN23)</f>
        <v>0</v>
      </c>
      <c r="BR23" s="7">
        <f t="shared" si="4"/>
        <v>71.5</v>
      </c>
      <c r="BS23" s="23">
        <f>IFERROR(VLOOKUP(BR23,'Transmutation Table'!$B$2:$V$32,2),5)</f>
        <v>5</v>
      </c>
      <c r="BT23" s="19" t="str">
        <f t="shared" si="35"/>
        <v>FAILED</v>
      </c>
    </row>
    <row r="24" spans="1:72" ht="14.4" customHeight="1" x14ac:dyDescent="0.25">
      <c r="A24" s="8">
        <v>11</v>
      </c>
      <c r="B24" s="74" t="s">
        <v>76</v>
      </c>
      <c r="C24" s="75"/>
      <c r="D24" s="47"/>
      <c r="E24" s="14" t="str">
        <f t="shared" si="5"/>
        <v>/10</v>
      </c>
      <c r="F24" s="27">
        <f>IFERROR(VLOOKUP((D24/$F$12)*100,'Transmutation Table'!$A$2:$B$32,2),0)</f>
        <v>70</v>
      </c>
      <c r="G24" s="12">
        <f t="shared" si="6"/>
        <v>40.25</v>
      </c>
      <c r="H24" s="18"/>
      <c r="I24" s="18"/>
      <c r="J24" s="18"/>
      <c r="K24" s="18"/>
      <c r="L24" s="18"/>
      <c r="M24" s="18"/>
      <c r="N24" s="18"/>
      <c r="O24" s="17">
        <f t="shared" si="7"/>
        <v>0</v>
      </c>
      <c r="P24" s="17">
        <f t="shared" si="8"/>
        <v>0</v>
      </c>
      <c r="Q24" s="7">
        <f t="shared" si="9"/>
        <v>0</v>
      </c>
      <c r="R24" s="7">
        <f t="shared" si="10"/>
        <v>100</v>
      </c>
      <c r="S24" s="44">
        <f t="shared" si="11"/>
        <v>5</v>
      </c>
      <c r="T24" s="41"/>
      <c r="U24" s="7">
        <f t="shared" si="12"/>
        <v>0</v>
      </c>
      <c r="V24" s="23">
        <f>IF(T24="A",0,VLOOKUP(U24,'Transmutation Table'!$A$2:$B$32,2))</f>
        <v>70</v>
      </c>
      <c r="W24" s="7">
        <f t="shared" si="13"/>
        <v>3.2083333333333335</v>
      </c>
      <c r="X24" s="41"/>
      <c r="Y24" s="7">
        <f t="shared" si="14"/>
        <v>0</v>
      </c>
      <c r="Z24" s="23">
        <f>IF(X24="A",0,VLOOKUP(Y24,'Transmutation Table'!$A$2:$B$32,2))</f>
        <v>70</v>
      </c>
      <c r="AA24" s="7">
        <f t="shared" si="15"/>
        <v>3.2083333333333335</v>
      </c>
      <c r="AB24" s="41"/>
      <c r="AC24" s="7">
        <f t="shared" si="16"/>
        <v>0</v>
      </c>
      <c r="AD24" s="23">
        <f>IF(AB24="A",0,VLOOKUP(AC24,'Transmutation Table'!$A$2:$B$32,2))</f>
        <v>70</v>
      </c>
      <c r="AE24" s="7">
        <f t="shared" si="17"/>
        <v>3.2083333333333335</v>
      </c>
      <c r="AF24" s="17">
        <f t="shared" si="18"/>
        <v>9.625</v>
      </c>
      <c r="AG24" s="41"/>
      <c r="AH24" s="7">
        <f t="shared" si="19"/>
        <v>0</v>
      </c>
      <c r="AI24" s="23">
        <f>IF(AG24="A",0,VLOOKUP(AH24,'Transmutation Table'!$A$2:$B$32,2))</f>
        <v>70</v>
      </c>
      <c r="AJ24" s="7">
        <f t="shared" si="20"/>
        <v>5.5416666666666661</v>
      </c>
      <c r="AK24" s="41"/>
      <c r="AL24" s="7">
        <f t="shared" si="21"/>
        <v>0</v>
      </c>
      <c r="AM24" s="23">
        <f>IF(AK24="A",0,VLOOKUP(AL24,'Transmutation Table'!$A$2:$B$32,2))</f>
        <v>70</v>
      </c>
      <c r="AN24" s="7">
        <f t="shared" si="22"/>
        <v>5.5416666666666661</v>
      </c>
      <c r="AO24" s="41"/>
      <c r="AP24" s="7">
        <f t="shared" si="23"/>
        <v>0</v>
      </c>
      <c r="AQ24" s="23">
        <f>IF(AO24="A",0,VLOOKUP(AP24,'Transmutation Table'!$A$2:$B$32,2))</f>
        <v>70</v>
      </c>
      <c r="AR24" s="7">
        <f t="shared" si="24"/>
        <v>5.5416666666666661</v>
      </c>
      <c r="AS24" s="17">
        <f t="shared" si="1"/>
        <v>16.625</v>
      </c>
      <c r="AT24" s="7">
        <f t="shared" si="2"/>
        <v>0</v>
      </c>
      <c r="AU24" s="7">
        <f t="shared" si="2"/>
        <v>70</v>
      </c>
      <c r="AV24" s="25">
        <f t="shared" si="3"/>
        <v>31.25</v>
      </c>
      <c r="AW24" s="41"/>
      <c r="AX24" s="41"/>
      <c r="AY24" s="16">
        <f t="shared" ref="AY24:AY53" si="36">SUM(AW24:AX24)</f>
        <v>0</v>
      </c>
      <c r="AZ24" s="16">
        <f t="shared" si="25"/>
        <v>50</v>
      </c>
      <c r="BA24" s="7">
        <f t="shared" si="26"/>
        <v>0</v>
      </c>
      <c r="BB24" s="41"/>
      <c r="BC24" s="7">
        <f t="shared" si="27"/>
        <v>0</v>
      </c>
      <c r="BD24" s="23">
        <f>IF(BB24="A",0,VLOOKUP(BC24,'Transmutation Table'!$A$2:$B$32,2))</f>
        <v>70</v>
      </c>
      <c r="BE24" s="7">
        <f t="shared" si="28"/>
        <v>0</v>
      </c>
      <c r="BF24" s="41"/>
      <c r="BG24" s="7">
        <f t="shared" si="29"/>
        <v>0</v>
      </c>
      <c r="BH24" s="23">
        <f>IF(BF24="A",0,VLOOKUP(BG24,'Transmutation Table'!$A$2:$B$32,2))</f>
        <v>70</v>
      </c>
      <c r="BI24" s="7">
        <f t="shared" si="30"/>
        <v>0</v>
      </c>
      <c r="BJ24" s="41"/>
      <c r="BK24" s="7">
        <f>IFERROR(BJ24/#REF!*100,0)</f>
        <v>0</v>
      </c>
      <c r="BL24" s="23">
        <f>IF(BJ24="A",0,VLOOKUP(BK24,'Transmutation Table'!$A$2:$B$32,2))</f>
        <v>70</v>
      </c>
      <c r="BM24" s="7">
        <f t="shared" si="31"/>
        <v>0</v>
      </c>
      <c r="BN24" s="7">
        <f t="shared" si="32"/>
        <v>0</v>
      </c>
      <c r="BO24" s="7">
        <f t="shared" si="33"/>
        <v>0</v>
      </c>
      <c r="BP24" s="7">
        <v>0</v>
      </c>
      <c r="BQ24" s="13">
        <f t="shared" ref="BQ24:BQ53" si="37">SUM(BA24,BN24)</f>
        <v>0</v>
      </c>
      <c r="BR24" s="7">
        <f t="shared" si="4"/>
        <v>71.5</v>
      </c>
      <c r="BS24" s="23">
        <f>IFERROR(VLOOKUP(BR24,'Transmutation Table'!$B$2:$V$32,2),5)</f>
        <v>5</v>
      </c>
      <c r="BT24" s="19" t="str">
        <f t="shared" si="35"/>
        <v>FAILED</v>
      </c>
    </row>
    <row r="25" spans="1:72" ht="14.4" customHeight="1" x14ac:dyDescent="0.25">
      <c r="A25" s="8">
        <v>12</v>
      </c>
      <c r="B25" s="74" t="s">
        <v>77</v>
      </c>
      <c r="C25" s="75"/>
      <c r="D25" s="47"/>
      <c r="E25" s="14" t="str">
        <f t="shared" si="5"/>
        <v>/10</v>
      </c>
      <c r="F25" s="27">
        <f>IFERROR(VLOOKUP((D25/$F$12)*100,'Transmutation Table'!$A$2:$B$32,2),0)</f>
        <v>70</v>
      </c>
      <c r="G25" s="12">
        <f t="shared" si="6"/>
        <v>40.25</v>
      </c>
      <c r="H25" s="18"/>
      <c r="I25" s="18"/>
      <c r="J25" s="18"/>
      <c r="K25" s="18"/>
      <c r="L25" s="18"/>
      <c r="M25" s="18"/>
      <c r="N25" s="18"/>
      <c r="O25" s="17">
        <f t="shared" si="7"/>
        <v>0</v>
      </c>
      <c r="P25" s="17">
        <f t="shared" si="8"/>
        <v>0</v>
      </c>
      <c r="Q25" s="7">
        <f t="shared" si="9"/>
        <v>0</v>
      </c>
      <c r="R25" s="7">
        <f t="shared" si="10"/>
        <v>100</v>
      </c>
      <c r="S25" s="44">
        <f t="shared" si="11"/>
        <v>5</v>
      </c>
      <c r="T25" s="41"/>
      <c r="U25" s="7">
        <f t="shared" si="12"/>
        <v>0</v>
      </c>
      <c r="V25" s="23">
        <f>IF(T25="A",0,VLOOKUP(U25,'Transmutation Table'!$A$2:$B$32,2))</f>
        <v>70</v>
      </c>
      <c r="W25" s="7">
        <f t="shared" si="13"/>
        <v>3.2083333333333335</v>
      </c>
      <c r="X25" s="41"/>
      <c r="Y25" s="7">
        <f t="shared" si="14"/>
        <v>0</v>
      </c>
      <c r="Z25" s="23">
        <f>IF(X25="A",0,VLOOKUP(Y25,'Transmutation Table'!$A$2:$B$32,2))</f>
        <v>70</v>
      </c>
      <c r="AA25" s="7">
        <f t="shared" si="15"/>
        <v>3.2083333333333335</v>
      </c>
      <c r="AB25" s="41"/>
      <c r="AC25" s="7">
        <f t="shared" si="16"/>
        <v>0</v>
      </c>
      <c r="AD25" s="23">
        <f>IF(AB25="A",0,VLOOKUP(AC25,'Transmutation Table'!$A$2:$B$32,2))</f>
        <v>70</v>
      </c>
      <c r="AE25" s="7">
        <f t="shared" si="17"/>
        <v>3.2083333333333335</v>
      </c>
      <c r="AF25" s="17">
        <f t="shared" si="18"/>
        <v>9.625</v>
      </c>
      <c r="AG25" s="41"/>
      <c r="AH25" s="7">
        <f t="shared" si="19"/>
        <v>0</v>
      </c>
      <c r="AI25" s="23">
        <f>IF(AG25="A",0,VLOOKUP(AH25,'Transmutation Table'!$A$2:$B$32,2))</f>
        <v>70</v>
      </c>
      <c r="AJ25" s="7">
        <f t="shared" si="20"/>
        <v>5.5416666666666661</v>
      </c>
      <c r="AK25" s="41"/>
      <c r="AL25" s="7">
        <f t="shared" si="21"/>
        <v>0</v>
      </c>
      <c r="AM25" s="23">
        <f>IF(AK25="A",0,VLOOKUP(AL25,'Transmutation Table'!$A$2:$B$32,2))</f>
        <v>70</v>
      </c>
      <c r="AN25" s="7">
        <f t="shared" si="22"/>
        <v>5.5416666666666661</v>
      </c>
      <c r="AO25" s="41"/>
      <c r="AP25" s="7">
        <f t="shared" si="23"/>
        <v>0</v>
      </c>
      <c r="AQ25" s="23">
        <f>IF(AO25="A",0,VLOOKUP(AP25,'Transmutation Table'!$A$2:$B$32,2))</f>
        <v>70</v>
      </c>
      <c r="AR25" s="7">
        <f t="shared" si="24"/>
        <v>5.5416666666666661</v>
      </c>
      <c r="AS25" s="17">
        <f t="shared" si="1"/>
        <v>16.625</v>
      </c>
      <c r="AT25" s="7">
        <f t="shared" si="2"/>
        <v>0</v>
      </c>
      <c r="AU25" s="7">
        <f t="shared" si="2"/>
        <v>70</v>
      </c>
      <c r="AV25" s="25">
        <f t="shared" si="3"/>
        <v>31.25</v>
      </c>
      <c r="AW25" s="41"/>
      <c r="AX25" s="41"/>
      <c r="AY25" s="16">
        <f t="shared" si="36"/>
        <v>0</v>
      </c>
      <c r="AZ25" s="16">
        <f t="shared" si="25"/>
        <v>50</v>
      </c>
      <c r="BA25" s="7">
        <f t="shared" si="26"/>
        <v>0</v>
      </c>
      <c r="BB25" s="41"/>
      <c r="BC25" s="7">
        <f t="shared" si="27"/>
        <v>0</v>
      </c>
      <c r="BD25" s="23">
        <f>IF(BB25="A",0,VLOOKUP(BC25,'Transmutation Table'!$A$2:$B$32,2))</f>
        <v>70</v>
      </c>
      <c r="BE25" s="7">
        <f t="shared" si="28"/>
        <v>0</v>
      </c>
      <c r="BF25" s="41"/>
      <c r="BG25" s="7">
        <f t="shared" si="29"/>
        <v>0</v>
      </c>
      <c r="BH25" s="23">
        <f>IF(BF25="A",0,VLOOKUP(BG25,'Transmutation Table'!$A$2:$B$32,2))</f>
        <v>70</v>
      </c>
      <c r="BI25" s="7">
        <f t="shared" si="30"/>
        <v>0</v>
      </c>
      <c r="BJ25" s="41"/>
      <c r="BK25" s="7">
        <f>IFERROR(BJ25/#REF!*100,0)</f>
        <v>0</v>
      </c>
      <c r="BL25" s="23">
        <f>IF(BJ25="A",0,VLOOKUP(BK25,'Transmutation Table'!$A$2:$B$32,2))</f>
        <v>70</v>
      </c>
      <c r="BM25" s="7">
        <f t="shared" si="31"/>
        <v>0</v>
      </c>
      <c r="BN25" s="7">
        <f t="shared" si="32"/>
        <v>0</v>
      </c>
      <c r="BO25" s="7">
        <f t="shared" si="33"/>
        <v>0</v>
      </c>
      <c r="BP25" s="7">
        <v>0</v>
      </c>
      <c r="BQ25" s="13">
        <f t="shared" si="37"/>
        <v>0</v>
      </c>
      <c r="BR25" s="7">
        <f t="shared" si="4"/>
        <v>71.5</v>
      </c>
      <c r="BS25" s="23">
        <f>IFERROR(VLOOKUP(BR25,'Transmutation Table'!$B$2:$V$32,2),5)</f>
        <v>5</v>
      </c>
      <c r="BT25" s="19" t="str">
        <f t="shared" si="35"/>
        <v>FAILED</v>
      </c>
    </row>
    <row r="26" spans="1:72" ht="14.4" customHeight="1" x14ac:dyDescent="0.25">
      <c r="A26" s="8">
        <v>13</v>
      </c>
      <c r="B26" s="74" t="s">
        <v>78</v>
      </c>
      <c r="C26" s="75"/>
      <c r="D26" s="47"/>
      <c r="E26" s="14" t="str">
        <f t="shared" si="5"/>
        <v>/10</v>
      </c>
      <c r="F26" s="27">
        <f>IFERROR(VLOOKUP((D26/$F$12)*100,'Transmutation Table'!$A$2:$B$32,2),0)</f>
        <v>70</v>
      </c>
      <c r="G26" s="12">
        <f t="shared" si="6"/>
        <v>40.25</v>
      </c>
      <c r="H26" s="18"/>
      <c r="I26" s="18"/>
      <c r="J26" s="18"/>
      <c r="K26" s="18"/>
      <c r="L26" s="18"/>
      <c r="M26" s="18"/>
      <c r="N26" s="18"/>
      <c r="O26" s="17">
        <f t="shared" si="7"/>
        <v>0</v>
      </c>
      <c r="P26" s="17">
        <f t="shared" si="8"/>
        <v>0</v>
      </c>
      <c r="Q26" s="7">
        <f t="shared" si="9"/>
        <v>0</v>
      </c>
      <c r="R26" s="7">
        <f t="shared" si="10"/>
        <v>100</v>
      </c>
      <c r="S26" s="44">
        <f t="shared" si="11"/>
        <v>5</v>
      </c>
      <c r="T26" s="41"/>
      <c r="U26" s="7">
        <f t="shared" si="12"/>
        <v>0</v>
      </c>
      <c r="V26" s="23">
        <f>IF(T26="A",0,VLOOKUP(U26,'Transmutation Table'!$A$2:$B$32,2))</f>
        <v>70</v>
      </c>
      <c r="W26" s="7">
        <f t="shared" si="13"/>
        <v>3.2083333333333335</v>
      </c>
      <c r="X26" s="41"/>
      <c r="Y26" s="7">
        <f t="shared" si="14"/>
        <v>0</v>
      </c>
      <c r="Z26" s="23">
        <f>IF(X26="A",0,VLOOKUP(Y26,'Transmutation Table'!$A$2:$B$32,2))</f>
        <v>70</v>
      </c>
      <c r="AA26" s="7">
        <f t="shared" si="15"/>
        <v>3.2083333333333335</v>
      </c>
      <c r="AB26" s="41"/>
      <c r="AC26" s="7">
        <f t="shared" si="16"/>
        <v>0</v>
      </c>
      <c r="AD26" s="23">
        <f>IF(AB26="A",0,VLOOKUP(AC26,'Transmutation Table'!$A$2:$B$32,2))</f>
        <v>70</v>
      </c>
      <c r="AE26" s="7">
        <f t="shared" si="17"/>
        <v>3.2083333333333335</v>
      </c>
      <c r="AF26" s="17">
        <f t="shared" si="18"/>
        <v>9.625</v>
      </c>
      <c r="AG26" s="41"/>
      <c r="AH26" s="7">
        <f t="shared" si="19"/>
        <v>0</v>
      </c>
      <c r="AI26" s="23">
        <f>IF(AG26="A",0,VLOOKUP(AH26,'Transmutation Table'!$A$2:$B$32,2))</f>
        <v>70</v>
      </c>
      <c r="AJ26" s="7">
        <f t="shared" si="20"/>
        <v>5.5416666666666661</v>
      </c>
      <c r="AK26" s="41"/>
      <c r="AL26" s="7">
        <f t="shared" si="21"/>
        <v>0</v>
      </c>
      <c r="AM26" s="23">
        <f>IF(AK26="A",0,VLOOKUP(AL26,'Transmutation Table'!$A$2:$B$32,2))</f>
        <v>70</v>
      </c>
      <c r="AN26" s="7">
        <f t="shared" si="22"/>
        <v>5.5416666666666661</v>
      </c>
      <c r="AO26" s="41"/>
      <c r="AP26" s="7">
        <f t="shared" si="23"/>
        <v>0</v>
      </c>
      <c r="AQ26" s="23">
        <f>IF(AO26="A",0,VLOOKUP(AP26,'Transmutation Table'!$A$2:$B$32,2))</f>
        <v>70</v>
      </c>
      <c r="AR26" s="7">
        <f t="shared" si="24"/>
        <v>5.5416666666666661</v>
      </c>
      <c r="AS26" s="17">
        <f t="shared" si="1"/>
        <v>16.625</v>
      </c>
      <c r="AT26" s="7">
        <f t="shared" si="2"/>
        <v>0</v>
      </c>
      <c r="AU26" s="7">
        <f t="shared" si="2"/>
        <v>70</v>
      </c>
      <c r="AV26" s="25">
        <f t="shared" si="3"/>
        <v>31.25</v>
      </c>
      <c r="AW26" s="41"/>
      <c r="AX26" s="41"/>
      <c r="AY26" s="16">
        <f t="shared" si="36"/>
        <v>0</v>
      </c>
      <c r="AZ26" s="16">
        <f t="shared" si="25"/>
        <v>50</v>
      </c>
      <c r="BA26" s="7">
        <f t="shared" si="26"/>
        <v>0</v>
      </c>
      <c r="BB26" s="41"/>
      <c r="BC26" s="7">
        <f t="shared" si="27"/>
        <v>0</v>
      </c>
      <c r="BD26" s="23">
        <f>IF(BB26="A",0,VLOOKUP(BC26,'Transmutation Table'!$A$2:$B$32,2))</f>
        <v>70</v>
      </c>
      <c r="BE26" s="7">
        <f t="shared" si="28"/>
        <v>0</v>
      </c>
      <c r="BF26" s="41"/>
      <c r="BG26" s="7">
        <f t="shared" si="29"/>
        <v>0</v>
      </c>
      <c r="BH26" s="23">
        <f>IF(BF26="A",0,VLOOKUP(BG26,'Transmutation Table'!$A$2:$B$32,2))</f>
        <v>70</v>
      </c>
      <c r="BI26" s="7">
        <f t="shared" si="30"/>
        <v>0</v>
      </c>
      <c r="BJ26" s="41"/>
      <c r="BK26" s="7">
        <f>IFERROR(BJ26/#REF!*100,0)</f>
        <v>0</v>
      </c>
      <c r="BL26" s="23">
        <f>IF(BJ26="A",0,VLOOKUP(BK26,'Transmutation Table'!$A$2:$B$32,2))</f>
        <v>70</v>
      </c>
      <c r="BM26" s="7">
        <f t="shared" si="31"/>
        <v>0</v>
      </c>
      <c r="BN26" s="7">
        <f t="shared" si="32"/>
        <v>0</v>
      </c>
      <c r="BO26" s="7">
        <f t="shared" si="33"/>
        <v>0</v>
      </c>
      <c r="BP26" s="7">
        <v>0</v>
      </c>
      <c r="BQ26" s="13">
        <f t="shared" si="37"/>
        <v>0</v>
      </c>
      <c r="BR26" s="7">
        <f t="shared" si="4"/>
        <v>71.5</v>
      </c>
      <c r="BS26" s="23">
        <f>IFERROR(VLOOKUP(BR26,'Transmutation Table'!$B$2:$V$32,2),5)</f>
        <v>5</v>
      </c>
      <c r="BT26" s="19" t="str">
        <f t="shared" si="35"/>
        <v>FAILED</v>
      </c>
    </row>
    <row r="27" spans="1:72" ht="14.4" customHeight="1" x14ac:dyDescent="0.25">
      <c r="A27" s="8">
        <v>14</v>
      </c>
      <c r="B27" s="74" t="s">
        <v>79</v>
      </c>
      <c r="C27" s="75"/>
      <c r="D27" s="47"/>
      <c r="E27" s="14" t="str">
        <f t="shared" si="5"/>
        <v>/10</v>
      </c>
      <c r="F27" s="27">
        <f>IFERROR(VLOOKUP((D27/$F$12)*100,'Transmutation Table'!$A$2:$B$32,2),0)</f>
        <v>70</v>
      </c>
      <c r="G27" s="12">
        <f t="shared" si="6"/>
        <v>40.25</v>
      </c>
      <c r="H27" s="18"/>
      <c r="I27" s="18"/>
      <c r="J27" s="18"/>
      <c r="K27" s="18"/>
      <c r="L27" s="18"/>
      <c r="M27" s="18"/>
      <c r="N27" s="18"/>
      <c r="O27" s="17">
        <f t="shared" si="7"/>
        <v>0</v>
      </c>
      <c r="P27" s="17">
        <f t="shared" si="8"/>
        <v>0</v>
      </c>
      <c r="Q27" s="7">
        <f t="shared" si="9"/>
        <v>0</v>
      </c>
      <c r="R27" s="7">
        <f t="shared" si="10"/>
        <v>100</v>
      </c>
      <c r="S27" s="44">
        <f t="shared" si="11"/>
        <v>5</v>
      </c>
      <c r="T27" s="41"/>
      <c r="U27" s="7">
        <f t="shared" si="12"/>
        <v>0</v>
      </c>
      <c r="V27" s="23">
        <f>IF(T27="A",0,VLOOKUP(U27,'Transmutation Table'!$A$2:$B$32,2))</f>
        <v>70</v>
      </c>
      <c r="W27" s="7">
        <f t="shared" si="13"/>
        <v>3.2083333333333335</v>
      </c>
      <c r="X27" s="41"/>
      <c r="Y27" s="7">
        <f t="shared" si="14"/>
        <v>0</v>
      </c>
      <c r="Z27" s="23">
        <f>IF(X27="A",0,VLOOKUP(Y27,'Transmutation Table'!$A$2:$B$32,2))</f>
        <v>70</v>
      </c>
      <c r="AA27" s="7">
        <f t="shared" si="15"/>
        <v>3.2083333333333335</v>
      </c>
      <c r="AB27" s="41"/>
      <c r="AC27" s="7">
        <f t="shared" si="16"/>
        <v>0</v>
      </c>
      <c r="AD27" s="23">
        <f>IF(AB27="A",0,VLOOKUP(AC27,'Transmutation Table'!$A$2:$B$32,2))</f>
        <v>70</v>
      </c>
      <c r="AE27" s="7">
        <f t="shared" si="17"/>
        <v>3.2083333333333335</v>
      </c>
      <c r="AF27" s="17">
        <f t="shared" si="18"/>
        <v>9.625</v>
      </c>
      <c r="AG27" s="41"/>
      <c r="AH27" s="7">
        <f t="shared" si="19"/>
        <v>0</v>
      </c>
      <c r="AI27" s="23">
        <f>IF(AG27="A",0,VLOOKUP(AH27,'Transmutation Table'!$A$2:$B$32,2))</f>
        <v>70</v>
      </c>
      <c r="AJ27" s="7">
        <f t="shared" si="20"/>
        <v>5.5416666666666661</v>
      </c>
      <c r="AK27" s="41"/>
      <c r="AL27" s="7">
        <f t="shared" si="21"/>
        <v>0</v>
      </c>
      <c r="AM27" s="23">
        <f>IF(AK27="A",0,VLOOKUP(AL27,'Transmutation Table'!$A$2:$B$32,2))</f>
        <v>70</v>
      </c>
      <c r="AN27" s="7">
        <f t="shared" si="22"/>
        <v>5.5416666666666661</v>
      </c>
      <c r="AO27" s="41"/>
      <c r="AP27" s="7">
        <f t="shared" si="23"/>
        <v>0</v>
      </c>
      <c r="AQ27" s="23">
        <f>IF(AO27="A",0,VLOOKUP(AP27,'Transmutation Table'!$A$2:$B$32,2))</f>
        <v>70</v>
      </c>
      <c r="AR27" s="7">
        <f t="shared" si="24"/>
        <v>5.5416666666666661</v>
      </c>
      <c r="AS27" s="17">
        <f t="shared" si="1"/>
        <v>16.625</v>
      </c>
      <c r="AT27" s="7">
        <f t="shared" si="2"/>
        <v>0</v>
      </c>
      <c r="AU27" s="7">
        <f t="shared" si="2"/>
        <v>70</v>
      </c>
      <c r="AV27" s="25">
        <f t="shared" si="3"/>
        <v>31.25</v>
      </c>
      <c r="AW27" s="41"/>
      <c r="AX27" s="41"/>
      <c r="AY27" s="16">
        <f t="shared" si="36"/>
        <v>0</v>
      </c>
      <c r="AZ27" s="16">
        <f t="shared" si="25"/>
        <v>50</v>
      </c>
      <c r="BA27" s="7">
        <f t="shared" si="26"/>
        <v>0</v>
      </c>
      <c r="BB27" s="41"/>
      <c r="BC27" s="7">
        <f t="shared" si="27"/>
        <v>0</v>
      </c>
      <c r="BD27" s="23">
        <f>IF(BB27="A",0,VLOOKUP(BC27,'Transmutation Table'!$A$2:$B$32,2))</f>
        <v>70</v>
      </c>
      <c r="BE27" s="7">
        <f t="shared" si="28"/>
        <v>0</v>
      </c>
      <c r="BF27" s="41"/>
      <c r="BG27" s="7">
        <f t="shared" si="29"/>
        <v>0</v>
      </c>
      <c r="BH27" s="23">
        <f>IF(BF27="A",0,VLOOKUP(BG27,'Transmutation Table'!$A$2:$B$32,2))</f>
        <v>70</v>
      </c>
      <c r="BI27" s="7">
        <f t="shared" si="30"/>
        <v>0</v>
      </c>
      <c r="BJ27" s="41"/>
      <c r="BK27" s="7">
        <f>IFERROR(BJ27/#REF!*100,0)</f>
        <v>0</v>
      </c>
      <c r="BL27" s="23">
        <f>IF(BJ27="A",0,VLOOKUP(BK27,'Transmutation Table'!$A$2:$B$32,2))</f>
        <v>70</v>
      </c>
      <c r="BM27" s="7">
        <f t="shared" si="31"/>
        <v>0</v>
      </c>
      <c r="BN27" s="7">
        <f t="shared" si="32"/>
        <v>0</v>
      </c>
      <c r="BO27" s="7">
        <f t="shared" si="33"/>
        <v>0</v>
      </c>
      <c r="BP27" s="7">
        <v>0</v>
      </c>
      <c r="BQ27" s="13">
        <f t="shared" si="37"/>
        <v>0</v>
      </c>
      <c r="BR27" s="7">
        <f t="shared" si="4"/>
        <v>71.5</v>
      </c>
      <c r="BS27" s="23">
        <f>IFERROR(VLOOKUP(BR27,'Transmutation Table'!$B$2:$V$32,2),5)</f>
        <v>5</v>
      </c>
      <c r="BT27" s="19" t="str">
        <f t="shared" si="35"/>
        <v>FAILED</v>
      </c>
    </row>
    <row r="28" spans="1:72" ht="14.4" customHeight="1" x14ac:dyDescent="0.25">
      <c r="A28" s="8">
        <v>15</v>
      </c>
      <c r="B28" s="74" t="s">
        <v>80</v>
      </c>
      <c r="C28" s="75"/>
      <c r="D28" s="47"/>
      <c r="E28" s="14" t="str">
        <f t="shared" si="5"/>
        <v>/10</v>
      </c>
      <c r="F28" s="27">
        <f>IFERROR(VLOOKUP((D28/$F$12)*100,'Transmutation Table'!$A$2:$B$32,2),0)</f>
        <v>70</v>
      </c>
      <c r="G28" s="12">
        <f t="shared" si="6"/>
        <v>40.25</v>
      </c>
      <c r="H28" s="18"/>
      <c r="I28" s="18"/>
      <c r="J28" s="18"/>
      <c r="K28" s="18"/>
      <c r="L28" s="18"/>
      <c r="M28" s="18"/>
      <c r="N28" s="18"/>
      <c r="O28" s="17">
        <f t="shared" si="7"/>
        <v>0</v>
      </c>
      <c r="P28" s="17">
        <f t="shared" si="8"/>
        <v>0</v>
      </c>
      <c r="Q28" s="7">
        <f t="shared" si="9"/>
        <v>0</v>
      </c>
      <c r="R28" s="7">
        <f t="shared" si="10"/>
        <v>100</v>
      </c>
      <c r="S28" s="44">
        <f t="shared" si="11"/>
        <v>5</v>
      </c>
      <c r="T28" s="41"/>
      <c r="U28" s="7">
        <f t="shared" si="12"/>
        <v>0</v>
      </c>
      <c r="V28" s="23">
        <f>IF(T28="A",0,VLOOKUP(U28,'Transmutation Table'!$A$2:$B$32,2))</f>
        <v>70</v>
      </c>
      <c r="W28" s="7">
        <f t="shared" si="13"/>
        <v>3.2083333333333335</v>
      </c>
      <c r="X28" s="41"/>
      <c r="Y28" s="7">
        <f t="shared" si="14"/>
        <v>0</v>
      </c>
      <c r="Z28" s="23">
        <f>IF(X28="A",0,VLOOKUP(Y28,'Transmutation Table'!$A$2:$B$32,2))</f>
        <v>70</v>
      </c>
      <c r="AA28" s="7">
        <f t="shared" si="15"/>
        <v>3.2083333333333335</v>
      </c>
      <c r="AB28" s="41"/>
      <c r="AC28" s="7">
        <f t="shared" si="16"/>
        <v>0</v>
      </c>
      <c r="AD28" s="23">
        <f>IF(AB28="A",0,VLOOKUP(AC28,'Transmutation Table'!$A$2:$B$32,2))</f>
        <v>70</v>
      </c>
      <c r="AE28" s="7">
        <f t="shared" si="17"/>
        <v>3.2083333333333335</v>
      </c>
      <c r="AF28" s="17">
        <f t="shared" si="18"/>
        <v>9.625</v>
      </c>
      <c r="AG28" s="41"/>
      <c r="AH28" s="7">
        <f t="shared" si="19"/>
        <v>0</v>
      </c>
      <c r="AI28" s="23">
        <f>IF(AG28="A",0,VLOOKUP(AH28,'Transmutation Table'!$A$2:$B$32,2))</f>
        <v>70</v>
      </c>
      <c r="AJ28" s="7">
        <f t="shared" si="20"/>
        <v>5.5416666666666661</v>
      </c>
      <c r="AK28" s="41"/>
      <c r="AL28" s="7">
        <f t="shared" si="21"/>
        <v>0</v>
      </c>
      <c r="AM28" s="23">
        <f>IF(AK28="A",0,VLOOKUP(AL28,'Transmutation Table'!$A$2:$B$32,2))</f>
        <v>70</v>
      </c>
      <c r="AN28" s="7">
        <f t="shared" si="22"/>
        <v>5.5416666666666661</v>
      </c>
      <c r="AO28" s="41"/>
      <c r="AP28" s="7">
        <f t="shared" si="23"/>
        <v>0</v>
      </c>
      <c r="AQ28" s="23">
        <f>IF(AO28="A",0,VLOOKUP(AP28,'Transmutation Table'!$A$2:$B$32,2))</f>
        <v>70</v>
      </c>
      <c r="AR28" s="7">
        <f t="shared" si="24"/>
        <v>5.5416666666666661</v>
      </c>
      <c r="AS28" s="17">
        <f t="shared" si="1"/>
        <v>16.625</v>
      </c>
      <c r="AT28" s="7">
        <f t="shared" si="2"/>
        <v>0</v>
      </c>
      <c r="AU28" s="7">
        <f t="shared" si="2"/>
        <v>70</v>
      </c>
      <c r="AV28" s="25">
        <f t="shared" si="3"/>
        <v>31.25</v>
      </c>
      <c r="AW28" s="41"/>
      <c r="AX28" s="41"/>
      <c r="AY28" s="16">
        <f t="shared" si="36"/>
        <v>0</v>
      </c>
      <c r="AZ28" s="16">
        <f t="shared" si="25"/>
        <v>50</v>
      </c>
      <c r="BA28" s="7">
        <f t="shared" si="26"/>
        <v>0</v>
      </c>
      <c r="BB28" s="41"/>
      <c r="BC28" s="7">
        <f t="shared" si="27"/>
        <v>0</v>
      </c>
      <c r="BD28" s="23">
        <f>IF(BB28="A",0,VLOOKUP(BC28,'Transmutation Table'!$A$2:$B$32,2))</f>
        <v>70</v>
      </c>
      <c r="BE28" s="7">
        <f t="shared" si="28"/>
        <v>0</v>
      </c>
      <c r="BF28" s="41"/>
      <c r="BG28" s="7">
        <f t="shared" si="29"/>
        <v>0</v>
      </c>
      <c r="BH28" s="23">
        <f>IF(BF28="A",0,VLOOKUP(BG28,'Transmutation Table'!$A$2:$B$32,2))</f>
        <v>70</v>
      </c>
      <c r="BI28" s="7">
        <f t="shared" si="30"/>
        <v>0</v>
      </c>
      <c r="BJ28" s="41"/>
      <c r="BK28" s="7">
        <f>IFERROR(BJ28/#REF!*100,0)</f>
        <v>0</v>
      </c>
      <c r="BL28" s="23">
        <f>IF(BJ28="A",0,VLOOKUP(BK28,'Transmutation Table'!$A$2:$B$32,2))</f>
        <v>70</v>
      </c>
      <c r="BM28" s="7">
        <f t="shared" si="31"/>
        <v>0</v>
      </c>
      <c r="BN28" s="7">
        <f t="shared" si="32"/>
        <v>0</v>
      </c>
      <c r="BO28" s="7">
        <f t="shared" si="33"/>
        <v>0</v>
      </c>
      <c r="BP28" s="7">
        <v>0</v>
      </c>
      <c r="BQ28" s="13">
        <f t="shared" si="37"/>
        <v>0</v>
      </c>
      <c r="BR28" s="7">
        <f t="shared" si="4"/>
        <v>71.5</v>
      </c>
      <c r="BS28" s="23">
        <f>IFERROR(VLOOKUP(BR28,'Transmutation Table'!$B$2:$V$32,2),5)</f>
        <v>5</v>
      </c>
      <c r="BT28" s="19" t="str">
        <f t="shared" si="35"/>
        <v>FAILED</v>
      </c>
    </row>
    <row r="29" spans="1:72" ht="14.4" customHeight="1" x14ac:dyDescent="0.25">
      <c r="A29" s="8">
        <v>16</v>
      </c>
      <c r="B29" s="74" t="s">
        <v>81</v>
      </c>
      <c r="C29" s="75"/>
      <c r="D29" s="47"/>
      <c r="E29" s="14" t="str">
        <f t="shared" si="5"/>
        <v>/10</v>
      </c>
      <c r="F29" s="27">
        <f>IFERROR(VLOOKUP((D29/$F$12)*100,'Transmutation Table'!$A$2:$B$32,2),0)</f>
        <v>70</v>
      </c>
      <c r="G29" s="12">
        <f t="shared" si="6"/>
        <v>40.25</v>
      </c>
      <c r="H29" s="18"/>
      <c r="I29" s="18"/>
      <c r="J29" s="18"/>
      <c r="K29" s="18"/>
      <c r="L29" s="18"/>
      <c r="M29" s="18"/>
      <c r="N29" s="18"/>
      <c r="O29" s="17">
        <f t="shared" si="7"/>
        <v>0</v>
      </c>
      <c r="P29" s="17">
        <f t="shared" si="8"/>
        <v>0</v>
      </c>
      <c r="Q29" s="7">
        <f t="shared" si="9"/>
        <v>0</v>
      </c>
      <c r="R29" s="7">
        <f t="shared" si="10"/>
        <v>100</v>
      </c>
      <c r="S29" s="44">
        <f t="shared" si="11"/>
        <v>5</v>
      </c>
      <c r="T29" s="41"/>
      <c r="U29" s="7">
        <f t="shared" si="12"/>
        <v>0</v>
      </c>
      <c r="V29" s="23">
        <f>IF(T29="A",0,VLOOKUP(U29,'Transmutation Table'!$A$2:$B$32,2))</f>
        <v>70</v>
      </c>
      <c r="W29" s="7">
        <f t="shared" si="13"/>
        <v>3.2083333333333335</v>
      </c>
      <c r="X29" s="41"/>
      <c r="Y29" s="7">
        <f t="shared" si="14"/>
        <v>0</v>
      </c>
      <c r="Z29" s="23">
        <f>IF(X29="A",0,VLOOKUP(Y29,'Transmutation Table'!$A$2:$B$32,2))</f>
        <v>70</v>
      </c>
      <c r="AA29" s="7">
        <f t="shared" si="15"/>
        <v>3.2083333333333335</v>
      </c>
      <c r="AB29" s="41"/>
      <c r="AC29" s="7">
        <f t="shared" si="16"/>
        <v>0</v>
      </c>
      <c r="AD29" s="23">
        <f>IF(AB29="A",0,VLOOKUP(AC29,'Transmutation Table'!$A$2:$B$32,2))</f>
        <v>70</v>
      </c>
      <c r="AE29" s="7">
        <f t="shared" si="17"/>
        <v>3.2083333333333335</v>
      </c>
      <c r="AF29" s="17">
        <f t="shared" si="18"/>
        <v>9.625</v>
      </c>
      <c r="AG29" s="41"/>
      <c r="AH29" s="7">
        <f t="shared" si="19"/>
        <v>0</v>
      </c>
      <c r="AI29" s="23">
        <f>IF(AG29="A",0,VLOOKUP(AH29,'Transmutation Table'!$A$2:$B$32,2))</f>
        <v>70</v>
      </c>
      <c r="AJ29" s="7">
        <f t="shared" si="20"/>
        <v>5.5416666666666661</v>
      </c>
      <c r="AK29" s="41"/>
      <c r="AL29" s="7">
        <f t="shared" si="21"/>
        <v>0</v>
      </c>
      <c r="AM29" s="23">
        <f>IF(AK29="A",0,VLOOKUP(AL29,'Transmutation Table'!$A$2:$B$32,2))</f>
        <v>70</v>
      </c>
      <c r="AN29" s="7">
        <f t="shared" si="22"/>
        <v>5.5416666666666661</v>
      </c>
      <c r="AO29" s="41"/>
      <c r="AP29" s="7">
        <f t="shared" si="23"/>
        <v>0</v>
      </c>
      <c r="AQ29" s="23">
        <f>IF(AO29="A",0,VLOOKUP(AP29,'Transmutation Table'!$A$2:$B$32,2))</f>
        <v>70</v>
      </c>
      <c r="AR29" s="7">
        <f t="shared" si="24"/>
        <v>5.5416666666666661</v>
      </c>
      <c r="AS29" s="17">
        <f t="shared" si="1"/>
        <v>16.625</v>
      </c>
      <c r="AT29" s="7">
        <f t="shared" si="2"/>
        <v>0</v>
      </c>
      <c r="AU29" s="7">
        <f t="shared" si="2"/>
        <v>70</v>
      </c>
      <c r="AV29" s="25">
        <f t="shared" si="3"/>
        <v>31.25</v>
      </c>
      <c r="AW29" s="41"/>
      <c r="AX29" s="41"/>
      <c r="AY29" s="16">
        <f t="shared" si="36"/>
        <v>0</v>
      </c>
      <c r="AZ29" s="16">
        <f t="shared" si="25"/>
        <v>50</v>
      </c>
      <c r="BA29" s="7">
        <f t="shared" si="26"/>
        <v>0</v>
      </c>
      <c r="BB29" s="41"/>
      <c r="BC29" s="7">
        <f t="shared" si="27"/>
        <v>0</v>
      </c>
      <c r="BD29" s="23">
        <f>IF(BB29="A",0,VLOOKUP(BC29,'Transmutation Table'!$A$2:$B$32,2))</f>
        <v>70</v>
      </c>
      <c r="BE29" s="7">
        <f t="shared" si="28"/>
        <v>0</v>
      </c>
      <c r="BF29" s="41"/>
      <c r="BG29" s="7">
        <f t="shared" si="29"/>
        <v>0</v>
      </c>
      <c r="BH29" s="23">
        <f>IF(BF29="A",0,VLOOKUP(BG29,'Transmutation Table'!$A$2:$B$32,2))</f>
        <v>70</v>
      </c>
      <c r="BI29" s="7">
        <f t="shared" si="30"/>
        <v>0</v>
      </c>
      <c r="BJ29" s="41"/>
      <c r="BK29" s="7">
        <f>IFERROR(BJ29/#REF!*100,0)</f>
        <v>0</v>
      </c>
      <c r="BL29" s="23">
        <f>IF(BJ29="A",0,VLOOKUP(BK29,'Transmutation Table'!$A$2:$B$32,2))</f>
        <v>70</v>
      </c>
      <c r="BM29" s="7">
        <f t="shared" si="31"/>
        <v>0</v>
      </c>
      <c r="BN29" s="7">
        <f t="shared" si="32"/>
        <v>0</v>
      </c>
      <c r="BO29" s="7">
        <f t="shared" si="33"/>
        <v>0</v>
      </c>
      <c r="BP29" s="7">
        <v>0</v>
      </c>
      <c r="BQ29" s="13">
        <f t="shared" si="37"/>
        <v>0</v>
      </c>
      <c r="BR29" s="7">
        <f t="shared" si="4"/>
        <v>71.5</v>
      </c>
      <c r="BS29" s="23">
        <f>IFERROR(VLOOKUP(BR29,'Transmutation Table'!$B$2:$V$32,2),5)</f>
        <v>5</v>
      </c>
      <c r="BT29" s="19" t="str">
        <f t="shared" si="35"/>
        <v>FAILED</v>
      </c>
    </row>
    <row r="30" spans="1:72" ht="14.4" customHeight="1" x14ac:dyDescent="0.25">
      <c r="A30" s="8">
        <v>17</v>
      </c>
      <c r="B30" s="74" t="s">
        <v>82</v>
      </c>
      <c r="C30" s="75"/>
      <c r="D30" s="47"/>
      <c r="E30" s="14" t="str">
        <f t="shared" si="5"/>
        <v>/10</v>
      </c>
      <c r="F30" s="27">
        <f>IFERROR(VLOOKUP((D30/$F$12)*100,'Transmutation Table'!$A$2:$B$32,2),0)</f>
        <v>70</v>
      </c>
      <c r="G30" s="12">
        <f t="shared" si="6"/>
        <v>40.25</v>
      </c>
      <c r="H30" s="18"/>
      <c r="I30" s="18"/>
      <c r="J30" s="18"/>
      <c r="K30" s="18"/>
      <c r="L30" s="18"/>
      <c r="M30" s="18"/>
      <c r="N30" s="18"/>
      <c r="O30" s="17">
        <f t="shared" si="7"/>
        <v>0</v>
      </c>
      <c r="P30" s="17">
        <f t="shared" si="8"/>
        <v>0</v>
      </c>
      <c r="Q30" s="7">
        <f t="shared" si="9"/>
        <v>0</v>
      </c>
      <c r="R30" s="7">
        <f t="shared" si="10"/>
        <v>100</v>
      </c>
      <c r="S30" s="44">
        <f t="shared" si="11"/>
        <v>5</v>
      </c>
      <c r="T30" s="41"/>
      <c r="U30" s="7">
        <f t="shared" si="12"/>
        <v>0</v>
      </c>
      <c r="V30" s="23">
        <f>IF(T30="A",0,VLOOKUP(U30,'Transmutation Table'!$A$2:$B$32,2))</f>
        <v>70</v>
      </c>
      <c r="W30" s="7">
        <f t="shared" si="13"/>
        <v>3.2083333333333335</v>
      </c>
      <c r="X30" s="41"/>
      <c r="Y30" s="7">
        <f t="shared" si="14"/>
        <v>0</v>
      </c>
      <c r="Z30" s="23">
        <f>IF(X30="A",0,VLOOKUP(Y30,'Transmutation Table'!$A$2:$B$32,2))</f>
        <v>70</v>
      </c>
      <c r="AA30" s="7">
        <f t="shared" si="15"/>
        <v>3.2083333333333335</v>
      </c>
      <c r="AB30" s="41"/>
      <c r="AC30" s="7">
        <f t="shared" si="16"/>
        <v>0</v>
      </c>
      <c r="AD30" s="23">
        <f>IF(AB30="A",0,VLOOKUP(AC30,'Transmutation Table'!$A$2:$B$32,2))</f>
        <v>70</v>
      </c>
      <c r="AE30" s="7">
        <f t="shared" si="17"/>
        <v>3.2083333333333335</v>
      </c>
      <c r="AF30" s="17">
        <f t="shared" si="18"/>
        <v>9.625</v>
      </c>
      <c r="AG30" s="41"/>
      <c r="AH30" s="7">
        <f t="shared" si="19"/>
        <v>0</v>
      </c>
      <c r="AI30" s="23">
        <f>IF(AG30="A",0,VLOOKUP(AH30,'Transmutation Table'!$A$2:$B$32,2))</f>
        <v>70</v>
      </c>
      <c r="AJ30" s="7">
        <f t="shared" si="20"/>
        <v>5.5416666666666661</v>
      </c>
      <c r="AK30" s="41"/>
      <c r="AL30" s="7">
        <f t="shared" si="21"/>
        <v>0</v>
      </c>
      <c r="AM30" s="23">
        <f>IF(AK30="A",0,VLOOKUP(AL30,'Transmutation Table'!$A$2:$B$32,2))</f>
        <v>70</v>
      </c>
      <c r="AN30" s="7">
        <f t="shared" si="22"/>
        <v>5.5416666666666661</v>
      </c>
      <c r="AO30" s="41"/>
      <c r="AP30" s="7">
        <f t="shared" si="23"/>
        <v>0</v>
      </c>
      <c r="AQ30" s="23">
        <f>IF(AO30="A",0,VLOOKUP(AP30,'Transmutation Table'!$A$2:$B$32,2))</f>
        <v>70</v>
      </c>
      <c r="AR30" s="7">
        <f t="shared" si="24"/>
        <v>5.5416666666666661</v>
      </c>
      <c r="AS30" s="17">
        <f t="shared" si="1"/>
        <v>16.625</v>
      </c>
      <c r="AT30" s="7">
        <f t="shared" si="2"/>
        <v>0</v>
      </c>
      <c r="AU30" s="7">
        <f t="shared" si="2"/>
        <v>70</v>
      </c>
      <c r="AV30" s="25">
        <f t="shared" si="3"/>
        <v>31.25</v>
      </c>
      <c r="AW30" s="41"/>
      <c r="AX30" s="41"/>
      <c r="AY30" s="16">
        <f t="shared" si="36"/>
        <v>0</v>
      </c>
      <c r="AZ30" s="16">
        <f t="shared" si="25"/>
        <v>50</v>
      </c>
      <c r="BA30" s="7">
        <f t="shared" si="26"/>
        <v>0</v>
      </c>
      <c r="BB30" s="41"/>
      <c r="BC30" s="7">
        <f t="shared" si="27"/>
        <v>0</v>
      </c>
      <c r="BD30" s="23">
        <f>IF(BB30="A",0,VLOOKUP(BC30,'Transmutation Table'!$A$2:$B$32,2))</f>
        <v>70</v>
      </c>
      <c r="BE30" s="7">
        <f t="shared" si="28"/>
        <v>0</v>
      </c>
      <c r="BF30" s="41"/>
      <c r="BG30" s="7">
        <f t="shared" si="29"/>
        <v>0</v>
      </c>
      <c r="BH30" s="23">
        <f>IF(BF30="A",0,VLOOKUP(BG30,'Transmutation Table'!$A$2:$B$32,2))</f>
        <v>70</v>
      </c>
      <c r="BI30" s="7">
        <f t="shared" si="30"/>
        <v>0</v>
      </c>
      <c r="BJ30" s="41"/>
      <c r="BK30" s="7">
        <f>IFERROR(BJ30/#REF!*100,0)</f>
        <v>0</v>
      </c>
      <c r="BL30" s="23">
        <f>IF(BJ30="A",0,VLOOKUP(BK30,'Transmutation Table'!$A$2:$B$32,2))</f>
        <v>70</v>
      </c>
      <c r="BM30" s="7">
        <f t="shared" si="31"/>
        <v>0</v>
      </c>
      <c r="BN30" s="7">
        <f t="shared" si="32"/>
        <v>0</v>
      </c>
      <c r="BO30" s="7">
        <f t="shared" si="33"/>
        <v>0</v>
      </c>
      <c r="BP30" s="7">
        <v>0</v>
      </c>
      <c r="BQ30" s="13">
        <f t="shared" si="37"/>
        <v>0</v>
      </c>
      <c r="BR30" s="7">
        <f t="shared" si="4"/>
        <v>71.5</v>
      </c>
      <c r="BS30" s="23">
        <f>IFERROR(VLOOKUP(BR30,'Transmutation Table'!$B$2:$V$32,2),5)</f>
        <v>5</v>
      </c>
      <c r="BT30" s="19" t="str">
        <f t="shared" si="35"/>
        <v>FAILED</v>
      </c>
    </row>
    <row r="31" spans="1:72" ht="14.4" customHeight="1" x14ac:dyDescent="0.25">
      <c r="A31" s="8">
        <v>18</v>
      </c>
      <c r="B31" s="74" t="s">
        <v>83</v>
      </c>
      <c r="C31" s="75"/>
      <c r="D31" s="47"/>
      <c r="E31" s="14" t="str">
        <f t="shared" si="5"/>
        <v>/10</v>
      </c>
      <c r="F31" s="27">
        <f>IFERROR(VLOOKUP((D31/$F$12)*100,'Transmutation Table'!$A$2:$B$32,2),0)</f>
        <v>70</v>
      </c>
      <c r="G31" s="12">
        <f t="shared" si="6"/>
        <v>40.25</v>
      </c>
      <c r="H31" s="18"/>
      <c r="I31" s="18"/>
      <c r="J31" s="18"/>
      <c r="K31" s="18"/>
      <c r="L31" s="18"/>
      <c r="M31" s="18"/>
      <c r="N31" s="18"/>
      <c r="O31" s="17">
        <f t="shared" si="7"/>
        <v>0</v>
      </c>
      <c r="P31" s="17">
        <f t="shared" si="8"/>
        <v>0</v>
      </c>
      <c r="Q31" s="7">
        <f t="shared" si="9"/>
        <v>0</v>
      </c>
      <c r="R31" s="7">
        <f t="shared" si="10"/>
        <v>100</v>
      </c>
      <c r="S31" s="44">
        <f t="shared" si="11"/>
        <v>5</v>
      </c>
      <c r="T31" s="41"/>
      <c r="U31" s="7">
        <f t="shared" si="12"/>
        <v>0</v>
      </c>
      <c r="V31" s="23">
        <f>IF(T31="A",0,VLOOKUP(U31,'Transmutation Table'!$A$2:$B$32,2))</f>
        <v>70</v>
      </c>
      <c r="W31" s="7">
        <f t="shared" si="13"/>
        <v>3.2083333333333335</v>
      </c>
      <c r="X31" s="41"/>
      <c r="Y31" s="7">
        <f t="shared" si="14"/>
        <v>0</v>
      </c>
      <c r="Z31" s="23">
        <f>IF(X31="A",0,VLOOKUP(Y31,'Transmutation Table'!$A$2:$B$32,2))</f>
        <v>70</v>
      </c>
      <c r="AA31" s="7">
        <f t="shared" si="15"/>
        <v>3.2083333333333335</v>
      </c>
      <c r="AB31" s="41"/>
      <c r="AC31" s="7">
        <f t="shared" si="16"/>
        <v>0</v>
      </c>
      <c r="AD31" s="23">
        <f>IF(AB31="A",0,VLOOKUP(AC31,'Transmutation Table'!$A$2:$B$32,2))</f>
        <v>70</v>
      </c>
      <c r="AE31" s="7">
        <f t="shared" si="17"/>
        <v>3.2083333333333335</v>
      </c>
      <c r="AF31" s="17">
        <f t="shared" si="18"/>
        <v>9.625</v>
      </c>
      <c r="AG31" s="41"/>
      <c r="AH31" s="7">
        <f t="shared" si="19"/>
        <v>0</v>
      </c>
      <c r="AI31" s="23">
        <f>IF(AG31="A",0,VLOOKUP(AH31,'Transmutation Table'!$A$2:$B$32,2))</f>
        <v>70</v>
      </c>
      <c r="AJ31" s="7">
        <f t="shared" si="20"/>
        <v>5.5416666666666661</v>
      </c>
      <c r="AK31" s="41"/>
      <c r="AL31" s="7">
        <f t="shared" si="21"/>
        <v>0</v>
      </c>
      <c r="AM31" s="23">
        <f>IF(AK31="A",0,VLOOKUP(AL31,'Transmutation Table'!$A$2:$B$32,2))</f>
        <v>70</v>
      </c>
      <c r="AN31" s="7">
        <f t="shared" si="22"/>
        <v>5.5416666666666661</v>
      </c>
      <c r="AO31" s="41"/>
      <c r="AP31" s="7">
        <f t="shared" si="23"/>
        <v>0</v>
      </c>
      <c r="AQ31" s="23">
        <f>IF(AO31="A",0,VLOOKUP(AP31,'Transmutation Table'!$A$2:$B$32,2))</f>
        <v>70</v>
      </c>
      <c r="AR31" s="7">
        <f t="shared" si="24"/>
        <v>5.5416666666666661</v>
      </c>
      <c r="AS31" s="17">
        <f t="shared" si="1"/>
        <v>16.625</v>
      </c>
      <c r="AT31" s="7">
        <f t="shared" si="2"/>
        <v>0</v>
      </c>
      <c r="AU31" s="7">
        <f t="shared" si="2"/>
        <v>70</v>
      </c>
      <c r="AV31" s="25">
        <f t="shared" si="3"/>
        <v>31.25</v>
      </c>
      <c r="AW31" s="41"/>
      <c r="AX31" s="41"/>
      <c r="AY31" s="16">
        <f t="shared" si="36"/>
        <v>0</v>
      </c>
      <c r="AZ31" s="16">
        <f t="shared" si="25"/>
        <v>50</v>
      </c>
      <c r="BA31" s="7">
        <f t="shared" si="26"/>
        <v>0</v>
      </c>
      <c r="BB31" s="41"/>
      <c r="BC31" s="7">
        <f t="shared" si="27"/>
        <v>0</v>
      </c>
      <c r="BD31" s="23">
        <f>IF(BB31="A",0,VLOOKUP(BC31,'Transmutation Table'!$A$2:$B$32,2))</f>
        <v>70</v>
      </c>
      <c r="BE31" s="7">
        <f t="shared" si="28"/>
        <v>0</v>
      </c>
      <c r="BF31" s="41"/>
      <c r="BG31" s="7">
        <f t="shared" si="29"/>
        <v>0</v>
      </c>
      <c r="BH31" s="23">
        <f>IF(BF31="A",0,VLOOKUP(BG31,'Transmutation Table'!$A$2:$B$32,2))</f>
        <v>70</v>
      </c>
      <c r="BI31" s="7">
        <f t="shared" si="30"/>
        <v>0</v>
      </c>
      <c r="BJ31" s="41"/>
      <c r="BK31" s="7">
        <f>IFERROR(BJ31/#REF!*100,0)</f>
        <v>0</v>
      </c>
      <c r="BL31" s="23">
        <f>IF(BJ31="A",0,VLOOKUP(BK31,'Transmutation Table'!$A$2:$B$32,2))</f>
        <v>70</v>
      </c>
      <c r="BM31" s="7">
        <f t="shared" si="31"/>
        <v>0</v>
      </c>
      <c r="BN31" s="7">
        <f t="shared" si="32"/>
        <v>0</v>
      </c>
      <c r="BO31" s="7">
        <f t="shared" si="33"/>
        <v>0</v>
      </c>
      <c r="BP31" s="7">
        <v>0</v>
      </c>
      <c r="BQ31" s="13">
        <f t="shared" si="37"/>
        <v>0</v>
      </c>
      <c r="BR31" s="7">
        <f t="shared" si="4"/>
        <v>71.5</v>
      </c>
      <c r="BS31" s="23">
        <f>IFERROR(VLOOKUP(BR31,'Transmutation Table'!$B$2:$V$32,2),5)</f>
        <v>5</v>
      </c>
      <c r="BT31" s="19" t="str">
        <f t="shared" si="35"/>
        <v>FAILED</v>
      </c>
    </row>
    <row r="32" spans="1:72" ht="14.4" customHeight="1" x14ac:dyDescent="0.25">
      <c r="A32" s="8">
        <v>19</v>
      </c>
      <c r="B32" s="74" t="s">
        <v>84</v>
      </c>
      <c r="C32" s="75"/>
      <c r="D32" s="47"/>
      <c r="E32" s="14" t="str">
        <f t="shared" si="5"/>
        <v>/10</v>
      </c>
      <c r="F32" s="27">
        <f>IFERROR(VLOOKUP((D32/$F$12)*100,'Transmutation Table'!$A$2:$B$32,2),0)</f>
        <v>70</v>
      </c>
      <c r="G32" s="12">
        <f t="shared" si="6"/>
        <v>40.25</v>
      </c>
      <c r="H32" s="18"/>
      <c r="I32" s="18"/>
      <c r="J32" s="18"/>
      <c r="K32" s="18"/>
      <c r="L32" s="18"/>
      <c r="M32" s="18"/>
      <c r="N32" s="18"/>
      <c r="O32" s="17">
        <f t="shared" si="7"/>
        <v>0</v>
      </c>
      <c r="P32" s="17">
        <f t="shared" si="8"/>
        <v>0</v>
      </c>
      <c r="Q32" s="7">
        <f t="shared" si="9"/>
        <v>0</v>
      </c>
      <c r="R32" s="7">
        <f t="shared" si="10"/>
        <v>100</v>
      </c>
      <c r="S32" s="44">
        <f t="shared" si="11"/>
        <v>5</v>
      </c>
      <c r="T32" s="41"/>
      <c r="U32" s="7">
        <f t="shared" si="12"/>
        <v>0</v>
      </c>
      <c r="V32" s="23">
        <f>IF(T32="A",0,VLOOKUP(U32,'Transmutation Table'!$A$2:$B$32,2))</f>
        <v>70</v>
      </c>
      <c r="W32" s="7">
        <f t="shared" si="13"/>
        <v>3.2083333333333335</v>
      </c>
      <c r="X32" s="41"/>
      <c r="Y32" s="7">
        <f t="shared" si="14"/>
        <v>0</v>
      </c>
      <c r="Z32" s="23">
        <f>IF(X32="A",0,VLOOKUP(Y32,'Transmutation Table'!$A$2:$B$32,2))</f>
        <v>70</v>
      </c>
      <c r="AA32" s="7">
        <f t="shared" si="15"/>
        <v>3.2083333333333335</v>
      </c>
      <c r="AB32" s="41"/>
      <c r="AC32" s="7">
        <f t="shared" si="16"/>
        <v>0</v>
      </c>
      <c r="AD32" s="23">
        <f>IF(AB32="A",0,VLOOKUP(AC32,'Transmutation Table'!$A$2:$B$32,2))</f>
        <v>70</v>
      </c>
      <c r="AE32" s="7">
        <f t="shared" si="17"/>
        <v>3.2083333333333335</v>
      </c>
      <c r="AF32" s="17">
        <f t="shared" si="18"/>
        <v>9.625</v>
      </c>
      <c r="AG32" s="41"/>
      <c r="AH32" s="7">
        <f t="shared" si="19"/>
        <v>0</v>
      </c>
      <c r="AI32" s="23">
        <f>IF(AG32="A",0,VLOOKUP(AH32,'Transmutation Table'!$A$2:$B$32,2))</f>
        <v>70</v>
      </c>
      <c r="AJ32" s="7">
        <f t="shared" si="20"/>
        <v>5.5416666666666661</v>
      </c>
      <c r="AK32" s="41"/>
      <c r="AL32" s="7">
        <f t="shared" si="21"/>
        <v>0</v>
      </c>
      <c r="AM32" s="23">
        <f>IF(AK32="A",0,VLOOKUP(AL32,'Transmutation Table'!$A$2:$B$32,2))</f>
        <v>70</v>
      </c>
      <c r="AN32" s="7">
        <f t="shared" si="22"/>
        <v>5.5416666666666661</v>
      </c>
      <c r="AO32" s="41"/>
      <c r="AP32" s="7">
        <f t="shared" si="23"/>
        <v>0</v>
      </c>
      <c r="AQ32" s="23">
        <f>IF(AO32="A",0,VLOOKUP(AP32,'Transmutation Table'!$A$2:$B$32,2))</f>
        <v>70</v>
      </c>
      <c r="AR32" s="7">
        <f t="shared" si="24"/>
        <v>5.5416666666666661</v>
      </c>
      <c r="AS32" s="17">
        <f t="shared" si="1"/>
        <v>16.625</v>
      </c>
      <c r="AT32" s="7">
        <f t="shared" si="2"/>
        <v>0</v>
      </c>
      <c r="AU32" s="7">
        <f t="shared" si="2"/>
        <v>70</v>
      </c>
      <c r="AV32" s="25">
        <f t="shared" si="3"/>
        <v>31.25</v>
      </c>
      <c r="AW32" s="41"/>
      <c r="AX32" s="41"/>
      <c r="AY32" s="16">
        <f t="shared" si="36"/>
        <v>0</v>
      </c>
      <c r="AZ32" s="16">
        <f t="shared" si="25"/>
        <v>50</v>
      </c>
      <c r="BA32" s="7">
        <f t="shared" si="26"/>
        <v>0</v>
      </c>
      <c r="BB32" s="41"/>
      <c r="BC32" s="7">
        <f t="shared" si="27"/>
        <v>0</v>
      </c>
      <c r="BD32" s="23">
        <f>IF(BB32="A",0,VLOOKUP(BC32,'Transmutation Table'!$A$2:$B$32,2))</f>
        <v>70</v>
      </c>
      <c r="BE32" s="7">
        <f t="shared" si="28"/>
        <v>0</v>
      </c>
      <c r="BF32" s="41"/>
      <c r="BG32" s="7">
        <f t="shared" si="29"/>
        <v>0</v>
      </c>
      <c r="BH32" s="23">
        <f>IF(BF32="A",0,VLOOKUP(BG32,'Transmutation Table'!$A$2:$B$32,2))</f>
        <v>70</v>
      </c>
      <c r="BI32" s="7">
        <f t="shared" si="30"/>
        <v>0</v>
      </c>
      <c r="BJ32" s="41"/>
      <c r="BK32" s="7">
        <f>IFERROR(BJ32/#REF!*100,0)</f>
        <v>0</v>
      </c>
      <c r="BL32" s="23">
        <f>IF(BJ32="A",0,VLOOKUP(BK32,'Transmutation Table'!$A$2:$B$32,2))</f>
        <v>70</v>
      </c>
      <c r="BM32" s="7">
        <f t="shared" si="31"/>
        <v>0</v>
      </c>
      <c r="BN32" s="7">
        <f t="shared" si="32"/>
        <v>0</v>
      </c>
      <c r="BO32" s="7">
        <f t="shared" si="33"/>
        <v>0</v>
      </c>
      <c r="BP32" s="7">
        <v>0</v>
      </c>
      <c r="BQ32" s="13">
        <f t="shared" si="37"/>
        <v>0</v>
      </c>
      <c r="BR32" s="7">
        <f t="shared" si="4"/>
        <v>71.5</v>
      </c>
      <c r="BS32" s="23">
        <f>IFERROR(VLOOKUP(BR32,'Transmutation Table'!$B$2:$V$32,2),5)</f>
        <v>5</v>
      </c>
      <c r="BT32" s="19" t="str">
        <f t="shared" si="35"/>
        <v>FAILED</v>
      </c>
    </row>
    <row r="33" spans="1:72" ht="14.4" customHeight="1" x14ac:dyDescent="0.25">
      <c r="A33" s="8">
        <v>20</v>
      </c>
      <c r="B33" s="74" t="s">
        <v>85</v>
      </c>
      <c r="C33" s="75"/>
      <c r="D33" s="47"/>
      <c r="E33" s="14" t="str">
        <f t="shared" si="5"/>
        <v>/10</v>
      </c>
      <c r="F33" s="27">
        <f>IFERROR(VLOOKUP((D33/$F$12)*100,'Transmutation Table'!$A$2:$B$32,2),0)</f>
        <v>70</v>
      </c>
      <c r="G33" s="12">
        <f t="shared" si="6"/>
        <v>40.25</v>
      </c>
      <c r="H33" s="18"/>
      <c r="I33" s="18"/>
      <c r="J33" s="18"/>
      <c r="K33" s="18"/>
      <c r="L33" s="18"/>
      <c r="M33" s="18"/>
      <c r="N33" s="18"/>
      <c r="O33" s="17">
        <f t="shared" si="7"/>
        <v>0</v>
      </c>
      <c r="P33" s="17">
        <f t="shared" si="8"/>
        <v>0</v>
      </c>
      <c r="Q33" s="7">
        <f t="shared" si="9"/>
        <v>0</v>
      </c>
      <c r="R33" s="7">
        <f t="shared" si="10"/>
        <v>100</v>
      </c>
      <c r="S33" s="44">
        <f t="shared" si="11"/>
        <v>5</v>
      </c>
      <c r="T33" s="41"/>
      <c r="U33" s="7">
        <f t="shared" si="12"/>
        <v>0</v>
      </c>
      <c r="V33" s="23">
        <f>IF(T33="A",0,VLOOKUP(U33,'Transmutation Table'!$A$2:$B$32,2))</f>
        <v>70</v>
      </c>
      <c r="W33" s="7">
        <f t="shared" si="13"/>
        <v>3.2083333333333335</v>
      </c>
      <c r="X33" s="41"/>
      <c r="Y33" s="7">
        <f t="shared" si="14"/>
        <v>0</v>
      </c>
      <c r="Z33" s="23">
        <f>IF(X33="A",0,VLOOKUP(Y33,'Transmutation Table'!$A$2:$B$32,2))</f>
        <v>70</v>
      </c>
      <c r="AA33" s="7">
        <f t="shared" si="15"/>
        <v>3.2083333333333335</v>
      </c>
      <c r="AB33" s="41"/>
      <c r="AC33" s="7">
        <f t="shared" si="16"/>
        <v>0</v>
      </c>
      <c r="AD33" s="23">
        <f>IF(AB33="A",0,VLOOKUP(AC33,'Transmutation Table'!$A$2:$B$32,2))</f>
        <v>70</v>
      </c>
      <c r="AE33" s="7">
        <f t="shared" si="17"/>
        <v>3.2083333333333335</v>
      </c>
      <c r="AF33" s="17">
        <f t="shared" si="18"/>
        <v>9.625</v>
      </c>
      <c r="AG33" s="41"/>
      <c r="AH33" s="7">
        <f t="shared" si="19"/>
        <v>0</v>
      </c>
      <c r="AI33" s="23">
        <f>IF(AG33="A",0,VLOOKUP(AH33,'Transmutation Table'!$A$2:$B$32,2))</f>
        <v>70</v>
      </c>
      <c r="AJ33" s="7">
        <f t="shared" si="20"/>
        <v>5.5416666666666661</v>
      </c>
      <c r="AK33" s="41"/>
      <c r="AL33" s="7">
        <f t="shared" si="21"/>
        <v>0</v>
      </c>
      <c r="AM33" s="23">
        <f>IF(AK33="A",0,VLOOKUP(AL33,'Transmutation Table'!$A$2:$B$32,2))</f>
        <v>70</v>
      </c>
      <c r="AN33" s="7">
        <f t="shared" si="22"/>
        <v>5.5416666666666661</v>
      </c>
      <c r="AO33" s="41"/>
      <c r="AP33" s="7">
        <f t="shared" si="23"/>
        <v>0</v>
      </c>
      <c r="AQ33" s="23">
        <f>IF(AO33="A",0,VLOOKUP(AP33,'Transmutation Table'!$A$2:$B$32,2))</f>
        <v>70</v>
      </c>
      <c r="AR33" s="7">
        <f t="shared" si="24"/>
        <v>5.5416666666666661</v>
      </c>
      <c r="AS33" s="17">
        <f t="shared" si="1"/>
        <v>16.625</v>
      </c>
      <c r="AT33" s="7">
        <f t="shared" si="2"/>
        <v>0</v>
      </c>
      <c r="AU33" s="7">
        <f t="shared" si="2"/>
        <v>70</v>
      </c>
      <c r="AV33" s="25">
        <f t="shared" si="3"/>
        <v>31.25</v>
      </c>
      <c r="AW33" s="41"/>
      <c r="AX33" s="41"/>
      <c r="AY33" s="16">
        <f t="shared" si="36"/>
        <v>0</v>
      </c>
      <c r="AZ33" s="16">
        <f t="shared" si="25"/>
        <v>50</v>
      </c>
      <c r="BA33" s="7">
        <f t="shared" si="26"/>
        <v>0</v>
      </c>
      <c r="BB33" s="41"/>
      <c r="BC33" s="7">
        <f t="shared" si="27"/>
        <v>0</v>
      </c>
      <c r="BD33" s="23">
        <f>IF(BB33="A",0,VLOOKUP(BC33,'Transmutation Table'!$A$2:$B$32,2))</f>
        <v>70</v>
      </c>
      <c r="BE33" s="7">
        <f t="shared" si="28"/>
        <v>0</v>
      </c>
      <c r="BF33" s="41"/>
      <c r="BG33" s="7">
        <f t="shared" si="29"/>
        <v>0</v>
      </c>
      <c r="BH33" s="23">
        <f>IF(BF33="A",0,VLOOKUP(BG33,'Transmutation Table'!$A$2:$B$32,2))</f>
        <v>70</v>
      </c>
      <c r="BI33" s="7">
        <f t="shared" si="30"/>
        <v>0</v>
      </c>
      <c r="BJ33" s="41"/>
      <c r="BK33" s="7">
        <f>IFERROR(BJ33/#REF!*100,0)</f>
        <v>0</v>
      </c>
      <c r="BL33" s="23">
        <f>IF(BJ33="A",0,VLOOKUP(BK33,'Transmutation Table'!$A$2:$B$32,2))</f>
        <v>70</v>
      </c>
      <c r="BM33" s="7">
        <f t="shared" si="31"/>
        <v>0</v>
      </c>
      <c r="BN33" s="7">
        <f t="shared" si="32"/>
        <v>0</v>
      </c>
      <c r="BO33" s="7">
        <f t="shared" si="33"/>
        <v>0</v>
      </c>
      <c r="BP33" s="7">
        <v>0</v>
      </c>
      <c r="BQ33" s="13">
        <f t="shared" si="37"/>
        <v>0</v>
      </c>
      <c r="BR33" s="7">
        <f t="shared" si="4"/>
        <v>71.5</v>
      </c>
      <c r="BS33" s="23">
        <f>IFERROR(VLOOKUP(BR33,'Transmutation Table'!$B$2:$V$32,2),5)</f>
        <v>5</v>
      </c>
      <c r="BT33" s="19" t="str">
        <f t="shared" si="35"/>
        <v>FAILED</v>
      </c>
    </row>
    <row r="34" spans="1:72" ht="14.4" customHeight="1" x14ac:dyDescent="0.25">
      <c r="A34" s="8">
        <v>21</v>
      </c>
      <c r="B34" s="74" t="s">
        <v>86</v>
      </c>
      <c r="C34" s="75"/>
      <c r="D34" s="47"/>
      <c r="E34" s="14" t="str">
        <f t="shared" si="5"/>
        <v>/10</v>
      </c>
      <c r="F34" s="27">
        <f>IFERROR(VLOOKUP((D34/$F$12)*100,'Transmutation Table'!$A$2:$B$32,2),0)</f>
        <v>70</v>
      </c>
      <c r="G34" s="12">
        <f t="shared" si="6"/>
        <v>40.25</v>
      </c>
      <c r="H34" s="18"/>
      <c r="I34" s="18"/>
      <c r="J34" s="18"/>
      <c r="K34" s="18"/>
      <c r="L34" s="18"/>
      <c r="M34" s="18"/>
      <c r="N34" s="18"/>
      <c r="O34" s="17">
        <f t="shared" si="7"/>
        <v>0</v>
      </c>
      <c r="P34" s="17">
        <f t="shared" si="8"/>
        <v>0</v>
      </c>
      <c r="Q34" s="7">
        <f t="shared" si="9"/>
        <v>0</v>
      </c>
      <c r="R34" s="7">
        <f t="shared" si="10"/>
        <v>100</v>
      </c>
      <c r="S34" s="44">
        <f t="shared" si="11"/>
        <v>5</v>
      </c>
      <c r="T34" s="41"/>
      <c r="U34" s="7">
        <f t="shared" si="12"/>
        <v>0</v>
      </c>
      <c r="V34" s="23">
        <f>IF(T34="A",0,VLOOKUP(U34,'Transmutation Table'!$A$2:$B$32,2))</f>
        <v>70</v>
      </c>
      <c r="W34" s="7">
        <f t="shared" si="13"/>
        <v>3.2083333333333335</v>
      </c>
      <c r="X34" s="41"/>
      <c r="Y34" s="7">
        <f t="shared" si="14"/>
        <v>0</v>
      </c>
      <c r="Z34" s="23">
        <f>IF(X34="A",0,VLOOKUP(Y34,'Transmutation Table'!$A$2:$B$32,2))</f>
        <v>70</v>
      </c>
      <c r="AA34" s="7">
        <f t="shared" si="15"/>
        <v>3.2083333333333335</v>
      </c>
      <c r="AB34" s="41"/>
      <c r="AC34" s="7">
        <f t="shared" si="16"/>
        <v>0</v>
      </c>
      <c r="AD34" s="23">
        <f>IF(AB34="A",0,VLOOKUP(AC34,'Transmutation Table'!$A$2:$B$32,2))</f>
        <v>70</v>
      </c>
      <c r="AE34" s="7">
        <f t="shared" si="17"/>
        <v>3.2083333333333335</v>
      </c>
      <c r="AF34" s="17">
        <f t="shared" si="18"/>
        <v>9.625</v>
      </c>
      <c r="AG34" s="41"/>
      <c r="AH34" s="7">
        <f t="shared" si="19"/>
        <v>0</v>
      </c>
      <c r="AI34" s="23">
        <f>IF(AG34="A",0,VLOOKUP(AH34,'Transmutation Table'!$A$2:$B$32,2))</f>
        <v>70</v>
      </c>
      <c r="AJ34" s="7">
        <f t="shared" si="20"/>
        <v>5.5416666666666661</v>
      </c>
      <c r="AK34" s="41"/>
      <c r="AL34" s="7">
        <f t="shared" si="21"/>
        <v>0</v>
      </c>
      <c r="AM34" s="23">
        <f>IF(AK34="A",0,VLOOKUP(AL34,'Transmutation Table'!$A$2:$B$32,2))</f>
        <v>70</v>
      </c>
      <c r="AN34" s="7">
        <f t="shared" si="22"/>
        <v>5.5416666666666661</v>
      </c>
      <c r="AO34" s="41"/>
      <c r="AP34" s="7">
        <f t="shared" si="23"/>
        <v>0</v>
      </c>
      <c r="AQ34" s="23">
        <f>IF(AO34="A",0,VLOOKUP(AP34,'Transmutation Table'!$A$2:$B$32,2))</f>
        <v>70</v>
      </c>
      <c r="AR34" s="7">
        <f t="shared" si="24"/>
        <v>5.5416666666666661</v>
      </c>
      <c r="AS34" s="17">
        <f t="shared" si="1"/>
        <v>16.625</v>
      </c>
      <c r="AT34" s="7">
        <f t="shared" si="2"/>
        <v>0</v>
      </c>
      <c r="AU34" s="7">
        <f t="shared" si="2"/>
        <v>70</v>
      </c>
      <c r="AV34" s="25">
        <f t="shared" si="3"/>
        <v>31.25</v>
      </c>
      <c r="AW34" s="41"/>
      <c r="AX34" s="41"/>
      <c r="AY34" s="16">
        <f t="shared" si="36"/>
        <v>0</v>
      </c>
      <c r="AZ34" s="16">
        <f t="shared" si="25"/>
        <v>50</v>
      </c>
      <c r="BA34" s="7">
        <f t="shared" si="26"/>
        <v>0</v>
      </c>
      <c r="BB34" s="41"/>
      <c r="BC34" s="7">
        <f t="shared" si="27"/>
        <v>0</v>
      </c>
      <c r="BD34" s="23">
        <f>IF(BB34="A",0,VLOOKUP(BC34,'Transmutation Table'!$A$2:$B$32,2))</f>
        <v>70</v>
      </c>
      <c r="BE34" s="7">
        <f t="shared" si="28"/>
        <v>0</v>
      </c>
      <c r="BF34" s="41"/>
      <c r="BG34" s="7">
        <f t="shared" si="29"/>
        <v>0</v>
      </c>
      <c r="BH34" s="23">
        <f>IF(BF34="A",0,VLOOKUP(BG34,'Transmutation Table'!$A$2:$B$32,2))</f>
        <v>70</v>
      </c>
      <c r="BI34" s="7">
        <f t="shared" si="30"/>
        <v>0</v>
      </c>
      <c r="BJ34" s="41"/>
      <c r="BK34" s="7">
        <f>IFERROR(BJ34/#REF!*100,0)</f>
        <v>0</v>
      </c>
      <c r="BL34" s="23">
        <f>IF(BJ34="A",0,VLOOKUP(BK34,'Transmutation Table'!$A$2:$B$32,2))</f>
        <v>70</v>
      </c>
      <c r="BM34" s="7">
        <f t="shared" si="31"/>
        <v>0</v>
      </c>
      <c r="BN34" s="7">
        <f t="shared" si="32"/>
        <v>0</v>
      </c>
      <c r="BO34" s="7">
        <f t="shared" si="33"/>
        <v>0</v>
      </c>
      <c r="BP34" s="7">
        <v>0</v>
      </c>
      <c r="BQ34" s="13">
        <f t="shared" si="37"/>
        <v>0</v>
      </c>
      <c r="BR34" s="7">
        <f t="shared" si="4"/>
        <v>71.5</v>
      </c>
      <c r="BS34" s="23">
        <f>IFERROR(VLOOKUP(BR34,'Transmutation Table'!$B$2:$V$32,2),5)</f>
        <v>5</v>
      </c>
      <c r="BT34" s="19" t="str">
        <f t="shared" si="35"/>
        <v>FAILED</v>
      </c>
    </row>
    <row r="35" spans="1:72" ht="14.4" customHeight="1" x14ac:dyDescent="0.25">
      <c r="A35" s="8">
        <v>22</v>
      </c>
      <c r="B35" s="74" t="s">
        <v>87</v>
      </c>
      <c r="C35" s="75"/>
      <c r="D35" s="47"/>
      <c r="E35" s="14" t="str">
        <f t="shared" si="5"/>
        <v>/10</v>
      </c>
      <c r="F35" s="27">
        <f>IFERROR(VLOOKUP((D35/$F$12)*100,'Transmutation Table'!$A$2:$B$32,2),0)</f>
        <v>70</v>
      </c>
      <c r="G35" s="12">
        <f t="shared" si="6"/>
        <v>40.25</v>
      </c>
      <c r="H35" s="18"/>
      <c r="I35" s="18"/>
      <c r="J35" s="18"/>
      <c r="K35" s="18"/>
      <c r="L35" s="18"/>
      <c r="M35" s="18"/>
      <c r="N35" s="18"/>
      <c r="O35" s="17">
        <f t="shared" si="7"/>
        <v>0</v>
      </c>
      <c r="P35" s="17">
        <f t="shared" si="8"/>
        <v>0</v>
      </c>
      <c r="Q35" s="7">
        <f t="shared" si="9"/>
        <v>0</v>
      </c>
      <c r="R35" s="7">
        <f t="shared" si="10"/>
        <v>100</v>
      </c>
      <c r="S35" s="44">
        <f t="shared" si="11"/>
        <v>5</v>
      </c>
      <c r="T35" s="41"/>
      <c r="U35" s="7">
        <f t="shared" si="12"/>
        <v>0</v>
      </c>
      <c r="V35" s="23">
        <f>IF(T35="A",0,VLOOKUP(U35,'Transmutation Table'!$A$2:$B$32,2))</f>
        <v>70</v>
      </c>
      <c r="W35" s="7">
        <f t="shared" si="13"/>
        <v>3.2083333333333335</v>
      </c>
      <c r="X35" s="41"/>
      <c r="Y35" s="7">
        <f t="shared" si="14"/>
        <v>0</v>
      </c>
      <c r="Z35" s="23">
        <f>IF(X35="A",0,VLOOKUP(Y35,'Transmutation Table'!$A$2:$B$32,2))</f>
        <v>70</v>
      </c>
      <c r="AA35" s="7">
        <f t="shared" si="15"/>
        <v>3.2083333333333335</v>
      </c>
      <c r="AB35" s="41"/>
      <c r="AC35" s="7">
        <f t="shared" si="16"/>
        <v>0</v>
      </c>
      <c r="AD35" s="23">
        <f>IF(AB35="A",0,VLOOKUP(AC35,'Transmutation Table'!$A$2:$B$32,2))</f>
        <v>70</v>
      </c>
      <c r="AE35" s="7">
        <f t="shared" si="17"/>
        <v>3.2083333333333335</v>
      </c>
      <c r="AF35" s="17">
        <f t="shared" si="18"/>
        <v>9.625</v>
      </c>
      <c r="AG35" s="41"/>
      <c r="AH35" s="7">
        <f t="shared" si="19"/>
        <v>0</v>
      </c>
      <c r="AI35" s="23">
        <f>IF(AG35="A",0,VLOOKUP(AH35,'Transmutation Table'!$A$2:$B$32,2))</f>
        <v>70</v>
      </c>
      <c r="AJ35" s="7">
        <f t="shared" si="20"/>
        <v>5.5416666666666661</v>
      </c>
      <c r="AK35" s="41"/>
      <c r="AL35" s="7">
        <f t="shared" si="21"/>
        <v>0</v>
      </c>
      <c r="AM35" s="23">
        <f>IF(AK35="A",0,VLOOKUP(AL35,'Transmutation Table'!$A$2:$B$32,2))</f>
        <v>70</v>
      </c>
      <c r="AN35" s="7">
        <f t="shared" si="22"/>
        <v>5.5416666666666661</v>
      </c>
      <c r="AO35" s="41"/>
      <c r="AP35" s="7">
        <f t="shared" si="23"/>
        <v>0</v>
      </c>
      <c r="AQ35" s="23">
        <f>IF(AO35="A",0,VLOOKUP(AP35,'Transmutation Table'!$A$2:$B$32,2))</f>
        <v>70</v>
      </c>
      <c r="AR35" s="7">
        <f t="shared" si="24"/>
        <v>5.5416666666666661</v>
      </c>
      <c r="AS35" s="17">
        <f t="shared" si="1"/>
        <v>16.625</v>
      </c>
      <c r="AT35" s="7">
        <f t="shared" si="2"/>
        <v>0</v>
      </c>
      <c r="AU35" s="7">
        <f t="shared" si="2"/>
        <v>70</v>
      </c>
      <c r="AV35" s="25">
        <f t="shared" si="3"/>
        <v>31.25</v>
      </c>
      <c r="AW35" s="41"/>
      <c r="AX35" s="41"/>
      <c r="AY35" s="16">
        <f t="shared" si="36"/>
        <v>0</v>
      </c>
      <c r="AZ35" s="16">
        <f t="shared" si="25"/>
        <v>50</v>
      </c>
      <c r="BA35" s="7">
        <f t="shared" si="26"/>
        <v>0</v>
      </c>
      <c r="BB35" s="41"/>
      <c r="BC35" s="7">
        <f t="shared" si="27"/>
        <v>0</v>
      </c>
      <c r="BD35" s="23">
        <f>IF(BB35="A",0,VLOOKUP(BC35,'Transmutation Table'!$A$2:$B$32,2))</f>
        <v>70</v>
      </c>
      <c r="BE35" s="7">
        <f t="shared" si="28"/>
        <v>0</v>
      </c>
      <c r="BF35" s="41"/>
      <c r="BG35" s="7">
        <f t="shared" si="29"/>
        <v>0</v>
      </c>
      <c r="BH35" s="23">
        <f>IF(BF35="A",0,VLOOKUP(BG35,'Transmutation Table'!$A$2:$B$32,2))</f>
        <v>70</v>
      </c>
      <c r="BI35" s="7">
        <f t="shared" si="30"/>
        <v>0</v>
      </c>
      <c r="BJ35" s="41"/>
      <c r="BK35" s="7">
        <f>IFERROR(BJ35/#REF!*100,0)</f>
        <v>0</v>
      </c>
      <c r="BL35" s="23">
        <f>IF(BJ35="A",0,VLOOKUP(BK35,'Transmutation Table'!$A$2:$B$32,2))</f>
        <v>70</v>
      </c>
      <c r="BM35" s="7">
        <f t="shared" si="31"/>
        <v>0</v>
      </c>
      <c r="BN35" s="7">
        <f t="shared" si="32"/>
        <v>0</v>
      </c>
      <c r="BO35" s="7">
        <f t="shared" si="33"/>
        <v>0</v>
      </c>
      <c r="BP35" s="7">
        <v>0</v>
      </c>
      <c r="BQ35" s="13">
        <f t="shared" si="37"/>
        <v>0</v>
      </c>
      <c r="BR35" s="7">
        <f t="shared" si="4"/>
        <v>71.5</v>
      </c>
      <c r="BS35" s="23">
        <f>IFERROR(VLOOKUP(BR35,'Transmutation Table'!$B$2:$V$32,2),5)</f>
        <v>5</v>
      </c>
      <c r="BT35" s="19" t="str">
        <f t="shared" si="35"/>
        <v>FAILED</v>
      </c>
    </row>
    <row r="36" spans="1:72" ht="14.4" customHeight="1" x14ac:dyDescent="0.25">
      <c r="A36" s="8">
        <v>23</v>
      </c>
      <c r="B36" s="74" t="s">
        <v>88</v>
      </c>
      <c r="C36" s="75"/>
      <c r="D36" s="47"/>
      <c r="E36" s="14" t="str">
        <f t="shared" si="5"/>
        <v>/10</v>
      </c>
      <c r="F36" s="27">
        <f>IFERROR(VLOOKUP((D36/$F$12)*100,'Transmutation Table'!$A$2:$B$32,2),0)</f>
        <v>70</v>
      </c>
      <c r="G36" s="12">
        <f t="shared" si="6"/>
        <v>40.25</v>
      </c>
      <c r="H36" s="18"/>
      <c r="I36" s="18"/>
      <c r="J36" s="18"/>
      <c r="K36" s="18"/>
      <c r="L36" s="18"/>
      <c r="M36" s="18"/>
      <c r="N36" s="18"/>
      <c r="O36" s="17">
        <f t="shared" si="7"/>
        <v>0</v>
      </c>
      <c r="P36" s="17">
        <f t="shared" si="8"/>
        <v>0</v>
      </c>
      <c r="Q36" s="7">
        <f t="shared" si="9"/>
        <v>0</v>
      </c>
      <c r="R36" s="7">
        <f t="shared" si="10"/>
        <v>100</v>
      </c>
      <c r="S36" s="44">
        <f t="shared" si="11"/>
        <v>5</v>
      </c>
      <c r="T36" s="41"/>
      <c r="U36" s="7">
        <f t="shared" si="12"/>
        <v>0</v>
      </c>
      <c r="V36" s="23">
        <f>IF(T36="A",0,VLOOKUP(U36,'Transmutation Table'!$A$2:$B$32,2))</f>
        <v>70</v>
      </c>
      <c r="W36" s="7">
        <f t="shared" si="13"/>
        <v>3.2083333333333335</v>
      </c>
      <c r="X36" s="41"/>
      <c r="Y36" s="7">
        <f t="shared" si="14"/>
        <v>0</v>
      </c>
      <c r="Z36" s="23">
        <f>IF(X36="A",0,VLOOKUP(Y36,'Transmutation Table'!$A$2:$B$32,2))</f>
        <v>70</v>
      </c>
      <c r="AA36" s="7">
        <f t="shared" si="15"/>
        <v>3.2083333333333335</v>
      </c>
      <c r="AB36" s="41"/>
      <c r="AC36" s="7">
        <f t="shared" si="16"/>
        <v>0</v>
      </c>
      <c r="AD36" s="23">
        <f>IF(AB36="A",0,VLOOKUP(AC36,'Transmutation Table'!$A$2:$B$32,2))</f>
        <v>70</v>
      </c>
      <c r="AE36" s="7">
        <f t="shared" si="17"/>
        <v>3.2083333333333335</v>
      </c>
      <c r="AF36" s="17">
        <f t="shared" si="18"/>
        <v>9.625</v>
      </c>
      <c r="AG36" s="41"/>
      <c r="AH36" s="7">
        <f t="shared" si="19"/>
        <v>0</v>
      </c>
      <c r="AI36" s="23">
        <f>IF(AG36="A",0,VLOOKUP(AH36,'Transmutation Table'!$A$2:$B$32,2))</f>
        <v>70</v>
      </c>
      <c r="AJ36" s="7">
        <f t="shared" si="20"/>
        <v>5.5416666666666661</v>
      </c>
      <c r="AK36" s="41"/>
      <c r="AL36" s="7">
        <f t="shared" si="21"/>
        <v>0</v>
      </c>
      <c r="AM36" s="23">
        <f>IF(AK36="A",0,VLOOKUP(AL36,'Transmutation Table'!$A$2:$B$32,2))</f>
        <v>70</v>
      </c>
      <c r="AN36" s="7">
        <f t="shared" si="22"/>
        <v>5.5416666666666661</v>
      </c>
      <c r="AO36" s="41"/>
      <c r="AP36" s="7">
        <f t="shared" si="23"/>
        <v>0</v>
      </c>
      <c r="AQ36" s="23">
        <f>IF(AO36="A",0,VLOOKUP(AP36,'Transmutation Table'!$A$2:$B$32,2))</f>
        <v>70</v>
      </c>
      <c r="AR36" s="7">
        <f t="shared" si="24"/>
        <v>5.5416666666666661</v>
      </c>
      <c r="AS36" s="17">
        <f t="shared" si="1"/>
        <v>16.625</v>
      </c>
      <c r="AT36" s="7">
        <f t="shared" si="2"/>
        <v>0</v>
      </c>
      <c r="AU36" s="7">
        <f t="shared" si="2"/>
        <v>70</v>
      </c>
      <c r="AV36" s="25">
        <f t="shared" si="3"/>
        <v>31.25</v>
      </c>
      <c r="AW36" s="41"/>
      <c r="AX36" s="41"/>
      <c r="AY36" s="16">
        <f t="shared" si="36"/>
        <v>0</v>
      </c>
      <c r="AZ36" s="16">
        <f t="shared" si="25"/>
        <v>50</v>
      </c>
      <c r="BA36" s="7">
        <f t="shared" si="26"/>
        <v>0</v>
      </c>
      <c r="BB36" s="41"/>
      <c r="BC36" s="7">
        <f t="shared" si="27"/>
        <v>0</v>
      </c>
      <c r="BD36" s="23">
        <f>IF(BB36="A",0,VLOOKUP(BC36,'Transmutation Table'!$A$2:$B$32,2))</f>
        <v>70</v>
      </c>
      <c r="BE36" s="7">
        <f t="shared" si="28"/>
        <v>0</v>
      </c>
      <c r="BF36" s="41"/>
      <c r="BG36" s="7">
        <f t="shared" si="29"/>
        <v>0</v>
      </c>
      <c r="BH36" s="23">
        <f>IF(BF36="A",0,VLOOKUP(BG36,'Transmutation Table'!$A$2:$B$32,2))</f>
        <v>70</v>
      </c>
      <c r="BI36" s="7">
        <f t="shared" si="30"/>
        <v>0</v>
      </c>
      <c r="BJ36" s="41"/>
      <c r="BK36" s="7">
        <f>IFERROR(BJ36/#REF!*100,0)</f>
        <v>0</v>
      </c>
      <c r="BL36" s="23">
        <f>IF(BJ36="A",0,VLOOKUP(BK36,'Transmutation Table'!$A$2:$B$32,2))</f>
        <v>70</v>
      </c>
      <c r="BM36" s="7">
        <f t="shared" si="31"/>
        <v>0</v>
      </c>
      <c r="BN36" s="7">
        <f t="shared" si="32"/>
        <v>0</v>
      </c>
      <c r="BO36" s="7">
        <f t="shared" si="33"/>
        <v>0</v>
      </c>
      <c r="BP36" s="7">
        <v>0</v>
      </c>
      <c r="BQ36" s="13">
        <f t="shared" si="37"/>
        <v>0</v>
      </c>
      <c r="BR36" s="7">
        <f t="shared" si="4"/>
        <v>71.5</v>
      </c>
      <c r="BS36" s="23">
        <f>IFERROR(VLOOKUP(BR36,'Transmutation Table'!$B$2:$V$32,2),5)</f>
        <v>5</v>
      </c>
      <c r="BT36" s="19" t="str">
        <f t="shared" si="35"/>
        <v>FAILED</v>
      </c>
    </row>
    <row r="37" spans="1:72" ht="14.4" customHeight="1" x14ac:dyDescent="0.25">
      <c r="A37" s="8">
        <v>24</v>
      </c>
      <c r="B37" s="74" t="s">
        <v>89</v>
      </c>
      <c r="C37" s="75"/>
      <c r="D37" s="47"/>
      <c r="E37" s="14" t="str">
        <f t="shared" si="5"/>
        <v>/10</v>
      </c>
      <c r="F37" s="27">
        <f>IFERROR(VLOOKUP((D37/$F$12)*100,'Transmutation Table'!$A$2:$B$32,2),0)</f>
        <v>70</v>
      </c>
      <c r="G37" s="12">
        <f t="shared" si="6"/>
        <v>40.25</v>
      </c>
      <c r="H37" s="18"/>
      <c r="I37" s="18"/>
      <c r="J37" s="18"/>
      <c r="K37" s="18"/>
      <c r="L37" s="18"/>
      <c r="M37" s="18"/>
      <c r="N37" s="18"/>
      <c r="O37" s="17">
        <f t="shared" si="7"/>
        <v>0</v>
      </c>
      <c r="P37" s="17">
        <f t="shared" si="8"/>
        <v>0</v>
      </c>
      <c r="Q37" s="7">
        <f t="shared" si="9"/>
        <v>0</v>
      </c>
      <c r="R37" s="7">
        <f t="shared" si="10"/>
        <v>100</v>
      </c>
      <c r="S37" s="44">
        <f t="shared" si="11"/>
        <v>5</v>
      </c>
      <c r="T37" s="41"/>
      <c r="U37" s="7">
        <f t="shared" si="12"/>
        <v>0</v>
      </c>
      <c r="V37" s="23">
        <f>IF(T37="A",0,VLOOKUP(U37,'Transmutation Table'!$A$2:$B$32,2))</f>
        <v>70</v>
      </c>
      <c r="W37" s="7">
        <f t="shared" si="13"/>
        <v>3.2083333333333335</v>
      </c>
      <c r="X37" s="41"/>
      <c r="Y37" s="7">
        <f t="shared" si="14"/>
        <v>0</v>
      </c>
      <c r="Z37" s="23">
        <f>IF(X37="A",0,VLOOKUP(Y37,'Transmutation Table'!$A$2:$B$32,2))</f>
        <v>70</v>
      </c>
      <c r="AA37" s="7">
        <f t="shared" si="15"/>
        <v>3.2083333333333335</v>
      </c>
      <c r="AB37" s="41"/>
      <c r="AC37" s="7">
        <f t="shared" si="16"/>
        <v>0</v>
      </c>
      <c r="AD37" s="23">
        <f>IF(AB37="A",0,VLOOKUP(AC37,'Transmutation Table'!$A$2:$B$32,2))</f>
        <v>70</v>
      </c>
      <c r="AE37" s="7">
        <f t="shared" si="17"/>
        <v>3.2083333333333335</v>
      </c>
      <c r="AF37" s="17">
        <f t="shared" si="18"/>
        <v>9.625</v>
      </c>
      <c r="AG37" s="41"/>
      <c r="AH37" s="7">
        <f t="shared" si="19"/>
        <v>0</v>
      </c>
      <c r="AI37" s="23">
        <f>IF(AG37="A",0,VLOOKUP(AH37,'Transmutation Table'!$A$2:$B$32,2))</f>
        <v>70</v>
      </c>
      <c r="AJ37" s="7">
        <f t="shared" si="20"/>
        <v>5.5416666666666661</v>
      </c>
      <c r="AK37" s="41"/>
      <c r="AL37" s="7">
        <f t="shared" si="21"/>
        <v>0</v>
      </c>
      <c r="AM37" s="23">
        <f>IF(AK37="A",0,VLOOKUP(AL37,'Transmutation Table'!$A$2:$B$32,2))</f>
        <v>70</v>
      </c>
      <c r="AN37" s="7">
        <f t="shared" si="22"/>
        <v>5.5416666666666661</v>
      </c>
      <c r="AO37" s="41"/>
      <c r="AP37" s="7">
        <f t="shared" si="23"/>
        <v>0</v>
      </c>
      <c r="AQ37" s="23">
        <f>IF(AO37="A",0,VLOOKUP(AP37,'Transmutation Table'!$A$2:$B$32,2))</f>
        <v>70</v>
      </c>
      <c r="AR37" s="7">
        <f t="shared" si="24"/>
        <v>5.5416666666666661</v>
      </c>
      <c r="AS37" s="17">
        <f t="shared" si="1"/>
        <v>16.625</v>
      </c>
      <c r="AT37" s="7">
        <f t="shared" si="2"/>
        <v>0</v>
      </c>
      <c r="AU37" s="7">
        <f t="shared" si="2"/>
        <v>70</v>
      </c>
      <c r="AV37" s="25">
        <f t="shared" si="3"/>
        <v>31.25</v>
      </c>
      <c r="AW37" s="41"/>
      <c r="AX37" s="41"/>
      <c r="AY37" s="16">
        <f t="shared" si="36"/>
        <v>0</v>
      </c>
      <c r="AZ37" s="16">
        <f t="shared" si="25"/>
        <v>50</v>
      </c>
      <c r="BA37" s="7">
        <f t="shared" si="26"/>
        <v>0</v>
      </c>
      <c r="BB37" s="41"/>
      <c r="BC37" s="7">
        <f t="shared" si="27"/>
        <v>0</v>
      </c>
      <c r="BD37" s="23">
        <f>IF(BB37="A",0,VLOOKUP(BC37,'Transmutation Table'!$A$2:$B$32,2))</f>
        <v>70</v>
      </c>
      <c r="BE37" s="7">
        <f t="shared" si="28"/>
        <v>0</v>
      </c>
      <c r="BF37" s="41"/>
      <c r="BG37" s="7">
        <f t="shared" si="29"/>
        <v>0</v>
      </c>
      <c r="BH37" s="23">
        <f>IF(BF37="A",0,VLOOKUP(BG37,'Transmutation Table'!$A$2:$B$32,2))</f>
        <v>70</v>
      </c>
      <c r="BI37" s="7">
        <f t="shared" si="30"/>
        <v>0</v>
      </c>
      <c r="BJ37" s="41"/>
      <c r="BK37" s="7">
        <f>IFERROR(BJ37/#REF!*100,0)</f>
        <v>0</v>
      </c>
      <c r="BL37" s="23">
        <f>IF(BJ37="A",0,VLOOKUP(BK37,'Transmutation Table'!$A$2:$B$32,2))</f>
        <v>70</v>
      </c>
      <c r="BM37" s="7">
        <f t="shared" si="31"/>
        <v>0</v>
      </c>
      <c r="BN37" s="7">
        <f t="shared" si="32"/>
        <v>0</v>
      </c>
      <c r="BO37" s="7">
        <f t="shared" si="33"/>
        <v>0</v>
      </c>
      <c r="BP37" s="7">
        <v>0</v>
      </c>
      <c r="BQ37" s="13">
        <f t="shared" si="37"/>
        <v>0</v>
      </c>
      <c r="BR37" s="7">
        <f t="shared" si="4"/>
        <v>71.5</v>
      </c>
      <c r="BS37" s="23">
        <f>IFERROR(VLOOKUP(BR37,'Transmutation Table'!$B$2:$V$32,2),5)</f>
        <v>5</v>
      </c>
      <c r="BT37" s="19" t="str">
        <f t="shared" si="35"/>
        <v>FAILED</v>
      </c>
    </row>
    <row r="38" spans="1:72" ht="14.4" customHeight="1" x14ac:dyDescent="0.25">
      <c r="A38" s="8">
        <v>25</v>
      </c>
      <c r="B38" s="74" t="s">
        <v>90</v>
      </c>
      <c r="C38" s="75"/>
      <c r="D38" s="47"/>
      <c r="E38" s="14" t="str">
        <f t="shared" si="5"/>
        <v>/10</v>
      </c>
      <c r="F38" s="27">
        <f>IFERROR(VLOOKUP((D38/$F$12)*100,'Transmutation Table'!$A$2:$B$32,2),0)</f>
        <v>70</v>
      </c>
      <c r="G38" s="12">
        <f t="shared" si="6"/>
        <v>40.25</v>
      </c>
      <c r="H38" s="18"/>
      <c r="I38" s="18"/>
      <c r="J38" s="18"/>
      <c r="K38" s="18"/>
      <c r="L38" s="18"/>
      <c r="M38" s="18"/>
      <c r="N38" s="18"/>
      <c r="O38" s="17">
        <f t="shared" si="7"/>
        <v>0</v>
      </c>
      <c r="P38" s="17">
        <f t="shared" si="8"/>
        <v>0</v>
      </c>
      <c r="Q38" s="7">
        <f t="shared" si="9"/>
        <v>0</v>
      </c>
      <c r="R38" s="7">
        <f t="shared" si="10"/>
        <v>100</v>
      </c>
      <c r="S38" s="44">
        <f t="shared" si="11"/>
        <v>5</v>
      </c>
      <c r="T38" s="41"/>
      <c r="U38" s="7">
        <f t="shared" si="12"/>
        <v>0</v>
      </c>
      <c r="V38" s="23">
        <f>IF(T38="A",0,VLOOKUP(U38,'Transmutation Table'!$A$2:$B$32,2))</f>
        <v>70</v>
      </c>
      <c r="W38" s="7">
        <f t="shared" si="13"/>
        <v>3.2083333333333335</v>
      </c>
      <c r="X38" s="41"/>
      <c r="Y38" s="7">
        <f t="shared" si="14"/>
        <v>0</v>
      </c>
      <c r="Z38" s="23">
        <f>IF(X38="A",0,VLOOKUP(Y38,'Transmutation Table'!$A$2:$B$32,2))</f>
        <v>70</v>
      </c>
      <c r="AA38" s="7">
        <f t="shared" si="15"/>
        <v>3.2083333333333335</v>
      </c>
      <c r="AB38" s="41"/>
      <c r="AC38" s="7">
        <f t="shared" si="16"/>
        <v>0</v>
      </c>
      <c r="AD38" s="23">
        <f>IF(AB38="A",0,VLOOKUP(AC38,'Transmutation Table'!$A$2:$B$32,2))</f>
        <v>70</v>
      </c>
      <c r="AE38" s="7">
        <f t="shared" si="17"/>
        <v>3.2083333333333335</v>
      </c>
      <c r="AF38" s="17">
        <f t="shared" si="18"/>
        <v>9.625</v>
      </c>
      <c r="AG38" s="41"/>
      <c r="AH38" s="7">
        <f t="shared" si="19"/>
        <v>0</v>
      </c>
      <c r="AI38" s="23">
        <f>IF(AG38="A",0,VLOOKUP(AH38,'Transmutation Table'!$A$2:$B$32,2))</f>
        <v>70</v>
      </c>
      <c r="AJ38" s="7">
        <f t="shared" si="20"/>
        <v>5.5416666666666661</v>
      </c>
      <c r="AK38" s="41"/>
      <c r="AL38" s="7">
        <f t="shared" si="21"/>
        <v>0</v>
      </c>
      <c r="AM38" s="23">
        <f>IF(AK38="A",0,VLOOKUP(AL38,'Transmutation Table'!$A$2:$B$32,2))</f>
        <v>70</v>
      </c>
      <c r="AN38" s="7">
        <f t="shared" si="22"/>
        <v>5.5416666666666661</v>
      </c>
      <c r="AO38" s="41"/>
      <c r="AP38" s="7">
        <f t="shared" si="23"/>
        <v>0</v>
      </c>
      <c r="AQ38" s="23">
        <f>IF(AO38="A",0,VLOOKUP(AP38,'Transmutation Table'!$A$2:$B$32,2))</f>
        <v>70</v>
      </c>
      <c r="AR38" s="7">
        <f t="shared" si="24"/>
        <v>5.5416666666666661</v>
      </c>
      <c r="AS38" s="17">
        <f t="shared" si="1"/>
        <v>16.625</v>
      </c>
      <c r="AT38" s="7">
        <f t="shared" si="2"/>
        <v>0</v>
      </c>
      <c r="AU38" s="7">
        <f t="shared" si="2"/>
        <v>70</v>
      </c>
      <c r="AV38" s="25">
        <f t="shared" si="3"/>
        <v>31.25</v>
      </c>
      <c r="AW38" s="41"/>
      <c r="AX38" s="41"/>
      <c r="AY38" s="16">
        <f t="shared" si="36"/>
        <v>0</v>
      </c>
      <c r="AZ38" s="16">
        <f t="shared" si="25"/>
        <v>50</v>
      </c>
      <c r="BA38" s="7">
        <f t="shared" si="26"/>
        <v>0</v>
      </c>
      <c r="BB38" s="41"/>
      <c r="BC38" s="7">
        <f t="shared" si="27"/>
        <v>0</v>
      </c>
      <c r="BD38" s="23">
        <f>IF(BB38="A",0,VLOOKUP(BC38,'Transmutation Table'!$A$2:$B$32,2))</f>
        <v>70</v>
      </c>
      <c r="BE38" s="7">
        <f t="shared" si="28"/>
        <v>0</v>
      </c>
      <c r="BF38" s="41"/>
      <c r="BG38" s="7">
        <f t="shared" si="29"/>
        <v>0</v>
      </c>
      <c r="BH38" s="23">
        <f>IF(BF38="A",0,VLOOKUP(BG38,'Transmutation Table'!$A$2:$B$32,2))</f>
        <v>70</v>
      </c>
      <c r="BI38" s="7">
        <f t="shared" si="30"/>
        <v>0</v>
      </c>
      <c r="BJ38" s="41"/>
      <c r="BK38" s="7">
        <f>IFERROR(BJ38/#REF!*100,0)</f>
        <v>0</v>
      </c>
      <c r="BL38" s="23">
        <f>IF(BJ38="A",0,VLOOKUP(BK38,'Transmutation Table'!$A$2:$B$32,2))</f>
        <v>70</v>
      </c>
      <c r="BM38" s="7">
        <f t="shared" si="31"/>
        <v>0</v>
      </c>
      <c r="BN38" s="7">
        <f t="shared" si="32"/>
        <v>0</v>
      </c>
      <c r="BO38" s="7">
        <f t="shared" si="33"/>
        <v>0</v>
      </c>
      <c r="BP38" s="7">
        <v>0</v>
      </c>
      <c r="BQ38" s="13">
        <f t="shared" si="37"/>
        <v>0</v>
      </c>
      <c r="BR38" s="7">
        <f t="shared" si="4"/>
        <v>71.5</v>
      </c>
      <c r="BS38" s="23">
        <f>IFERROR(VLOOKUP(BR38,'Transmutation Table'!$B$2:$V$32,2),5)</f>
        <v>5</v>
      </c>
      <c r="BT38" s="19" t="str">
        <f t="shared" si="35"/>
        <v>FAILED</v>
      </c>
    </row>
    <row r="39" spans="1:72" ht="14.4" customHeight="1" x14ac:dyDescent="0.25">
      <c r="A39" s="8">
        <v>26</v>
      </c>
      <c r="B39" s="74" t="s">
        <v>91</v>
      </c>
      <c r="C39" s="75"/>
      <c r="D39" s="47"/>
      <c r="E39" s="14" t="str">
        <f t="shared" si="5"/>
        <v>/10</v>
      </c>
      <c r="F39" s="27">
        <f>IFERROR(VLOOKUP((D39/$F$12)*100,'Transmutation Table'!$A$2:$B$32,2),0)</f>
        <v>70</v>
      </c>
      <c r="G39" s="12">
        <f t="shared" si="6"/>
        <v>40.25</v>
      </c>
      <c r="H39" s="18"/>
      <c r="I39" s="18"/>
      <c r="J39" s="18"/>
      <c r="K39" s="18"/>
      <c r="L39" s="18"/>
      <c r="M39" s="18"/>
      <c r="N39" s="18"/>
      <c r="O39" s="17">
        <f t="shared" si="7"/>
        <v>0</v>
      </c>
      <c r="P39" s="17">
        <f t="shared" si="8"/>
        <v>0</v>
      </c>
      <c r="Q39" s="7">
        <f t="shared" si="9"/>
        <v>0</v>
      </c>
      <c r="R39" s="7">
        <f t="shared" si="10"/>
        <v>100</v>
      </c>
      <c r="S39" s="44">
        <f t="shared" si="11"/>
        <v>5</v>
      </c>
      <c r="T39" s="41"/>
      <c r="U39" s="7">
        <f t="shared" si="12"/>
        <v>0</v>
      </c>
      <c r="V39" s="23">
        <f>IF(T39="A",0,VLOOKUP(U39,'Transmutation Table'!$A$2:$B$32,2))</f>
        <v>70</v>
      </c>
      <c r="W39" s="7">
        <f t="shared" si="13"/>
        <v>3.2083333333333335</v>
      </c>
      <c r="X39" s="41"/>
      <c r="Y39" s="7">
        <f t="shared" si="14"/>
        <v>0</v>
      </c>
      <c r="Z39" s="23">
        <f>IF(X39="A",0,VLOOKUP(Y39,'Transmutation Table'!$A$2:$B$32,2))</f>
        <v>70</v>
      </c>
      <c r="AA39" s="7">
        <f t="shared" si="15"/>
        <v>3.2083333333333335</v>
      </c>
      <c r="AB39" s="41"/>
      <c r="AC39" s="7">
        <f t="shared" si="16"/>
        <v>0</v>
      </c>
      <c r="AD39" s="23">
        <f>IF(AB39="A",0,VLOOKUP(AC39,'Transmutation Table'!$A$2:$B$32,2))</f>
        <v>70</v>
      </c>
      <c r="AE39" s="7">
        <f t="shared" si="17"/>
        <v>3.2083333333333335</v>
      </c>
      <c r="AF39" s="17">
        <f t="shared" si="18"/>
        <v>9.625</v>
      </c>
      <c r="AG39" s="41"/>
      <c r="AH39" s="7">
        <f t="shared" si="19"/>
        <v>0</v>
      </c>
      <c r="AI39" s="23">
        <f>IF(AG39="A",0,VLOOKUP(AH39,'Transmutation Table'!$A$2:$B$32,2))</f>
        <v>70</v>
      </c>
      <c r="AJ39" s="7">
        <f t="shared" si="20"/>
        <v>5.5416666666666661</v>
      </c>
      <c r="AK39" s="41"/>
      <c r="AL39" s="7">
        <f t="shared" si="21"/>
        <v>0</v>
      </c>
      <c r="AM39" s="23">
        <f>IF(AK39="A",0,VLOOKUP(AL39,'Transmutation Table'!$A$2:$B$32,2))</f>
        <v>70</v>
      </c>
      <c r="AN39" s="7">
        <f t="shared" si="22"/>
        <v>5.5416666666666661</v>
      </c>
      <c r="AO39" s="41"/>
      <c r="AP39" s="7">
        <f t="shared" si="23"/>
        <v>0</v>
      </c>
      <c r="AQ39" s="23">
        <f>IF(AO39="A",0,VLOOKUP(AP39,'Transmutation Table'!$A$2:$B$32,2))</f>
        <v>70</v>
      </c>
      <c r="AR39" s="7">
        <f t="shared" si="24"/>
        <v>5.5416666666666661</v>
      </c>
      <c r="AS39" s="17">
        <f t="shared" si="1"/>
        <v>16.625</v>
      </c>
      <c r="AT39" s="7">
        <f t="shared" si="2"/>
        <v>0</v>
      </c>
      <c r="AU39" s="7">
        <f t="shared" si="2"/>
        <v>70</v>
      </c>
      <c r="AV39" s="25">
        <f t="shared" si="3"/>
        <v>31.25</v>
      </c>
      <c r="AW39" s="41"/>
      <c r="AX39" s="41"/>
      <c r="AY39" s="16">
        <f t="shared" si="36"/>
        <v>0</v>
      </c>
      <c r="AZ39" s="16">
        <f t="shared" si="25"/>
        <v>50</v>
      </c>
      <c r="BA39" s="7">
        <f t="shared" si="26"/>
        <v>0</v>
      </c>
      <c r="BB39" s="41"/>
      <c r="BC39" s="7">
        <f t="shared" si="27"/>
        <v>0</v>
      </c>
      <c r="BD39" s="23">
        <f>IF(BB39="A",0,VLOOKUP(BC39,'Transmutation Table'!$A$2:$B$32,2))</f>
        <v>70</v>
      </c>
      <c r="BE39" s="7">
        <f t="shared" si="28"/>
        <v>0</v>
      </c>
      <c r="BF39" s="41"/>
      <c r="BG39" s="7">
        <f t="shared" si="29"/>
        <v>0</v>
      </c>
      <c r="BH39" s="23">
        <f>IF(BF39="A",0,VLOOKUP(BG39,'Transmutation Table'!$A$2:$B$32,2))</f>
        <v>70</v>
      </c>
      <c r="BI39" s="7">
        <f t="shared" si="30"/>
        <v>0</v>
      </c>
      <c r="BJ39" s="41"/>
      <c r="BK39" s="7">
        <f>IFERROR(BJ39/#REF!*100,0)</f>
        <v>0</v>
      </c>
      <c r="BL39" s="23">
        <f>IF(BJ39="A",0,VLOOKUP(BK39,'Transmutation Table'!$A$2:$B$32,2))</f>
        <v>70</v>
      </c>
      <c r="BM39" s="7">
        <f t="shared" si="31"/>
        <v>0</v>
      </c>
      <c r="BN39" s="7">
        <f t="shared" si="32"/>
        <v>0</v>
      </c>
      <c r="BO39" s="7">
        <f t="shared" si="33"/>
        <v>0</v>
      </c>
      <c r="BP39" s="7">
        <v>0</v>
      </c>
      <c r="BQ39" s="13">
        <f t="shared" si="37"/>
        <v>0</v>
      </c>
      <c r="BR39" s="7">
        <f t="shared" si="4"/>
        <v>71.5</v>
      </c>
      <c r="BS39" s="23">
        <f>IFERROR(VLOOKUP(BR39,'Transmutation Table'!$B$2:$V$32,2),5)</f>
        <v>5</v>
      </c>
      <c r="BT39" s="19" t="str">
        <f t="shared" si="35"/>
        <v>FAILED</v>
      </c>
    </row>
    <row r="40" spans="1:72" ht="14.4" customHeight="1" x14ac:dyDescent="0.25">
      <c r="A40" s="8">
        <v>27</v>
      </c>
      <c r="B40" s="74" t="s">
        <v>92</v>
      </c>
      <c r="C40" s="75"/>
      <c r="D40" s="47"/>
      <c r="E40" s="14" t="str">
        <f t="shared" si="5"/>
        <v>/10</v>
      </c>
      <c r="F40" s="27">
        <f>IFERROR(VLOOKUP((D40/$F$12)*100,'Transmutation Table'!$A$2:$B$32,2),0)</f>
        <v>70</v>
      </c>
      <c r="G40" s="12">
        <f t="shared" si="6"/>
        <v>40.25</v>
      </c>
      <c r="H40" s="18"/>
      <c r="I40" s="18"/>
      <c r="J40" s="18"/>
      <c r="K40" s="18"/>
      <c r="L40" s="18"/>
      <c r="M40" s="18"/>
      <c r="N40" s="18"/>
      <c r="O40" s="17">
        <f t="shared" si="7"/>
        <v>0</v>
      </c>
      <c r="P40" s="17">
        <f t="shared" si="8"/>
        <v>0</v>
      </c>
      <c r="Q40" s="7">
        <f t="shared" si="9"/>
        <v>0</v>
      </c>
      <c r="R40" s="7">
        <f t="shared" si="10"/>
        <v>100</v>
      </c>
      <c r="S40" s="44">
        <f t="shared" si="11"/>
        <v>5</v>
      </c>
      <c r="T40" s="41"/>
      <c r="U40" s="7">
        <f t="shared" si="12"/>
        <v>0</v>
      </c>
      <c r="V40" s="23">
        <f>IF(T40="A",0,VLOOKUP(U40,'Transmutation Table'!$A$2:$B$32,2))</f>
        <v>70</v>
      </c>
      <c r="W40" s="7">
        <f t="shared" si="13"/>
        <v>3.2083333333333335</v>
      </c>
      <c r="X40" s="41"/>
      <c r="Y40" s="7">
        <f t="shared" si="14"/>
        <v>0</v>
      </c>
      <c r="Z40" s="23">
        <f>IF(X40="A",0,VLOOKUP(Y40,'Transmutation Table'!$A$2:$B$32,2))</f>
        <v>70</v>
      </c>
      <c r="AA40" s="7">
        <f t="shared" si="15"/>
        <v>3.2083333333333335</v>
      </c>
      <c r="AB40" s="41"/>
      <c r="AC40" s="7">
        <f t="shared" si="16"/>
        <v>0</v>
      </c>
      <c r="AD40" s="23">
        <f>IF(AB40="A",0,VLOOKUP(AC40,'Transmutation Table'!$A$2:$B$32,2))</f>
        <v>70</v>
      </c>
      <c r="AE40" s="7">
        <f t="shared" si="17"/>
        <v>3.2083333333333335</v>
      </c>
      <c r="AF40" s="17">
        <f t="shared" si="18"/>
        <v>9.625</v>
      </c>
      <c r="AG40" s="41"/>
      <c r="AH40" s="7">
        <f t="shared" si="19"/>
        <v>0</v>
      </c>
      <c r="AI40" s="23">
        <f>IF(AG40="A",0,VLOOKUP(AH40,'Transmutation Table'!$A$2:$B$32,2))</f>
        <v>70</v>
      </c>
      <c r="AJ40" s="7">
        <f t="shared" si="20"/>
        <v>5.5416666666666661</v>
      </c>
      <c r="AK40" s="41"/>
      <c r="AL40" s="7">
        <f t="shared" si="21"/>
        <v>0</v>
      </c>
      <c r="AM40" s="23">
        <f>IF(AK40="A",0,VLOOKUP(AL40,'Transmutation Table'!$A$2:$B$32,2))</f>
        <v>70</v>
      </c>
      <c r="AN40" s="7">
        <f t="shared" si="22"/>
        <v>5.5416666666666661</v>
      </c>
      <c r="AO40" s="41"/>
      <c r="AP40" s="7">
        <f t="shared" si="23"/>
        <v>0</v>
      </c>
      <c r="AQ40" s="23">
        <f>IF(AO40="A",0,VLOOKUP(AP40,'Transmutation Table'!$A$2:$B$32,2))</f>
        <v>70</v>
      </c>
      <c r="AR40" s="7">
        <f t="shared" si="24"/>
        <v>5.5416666666666661</v>
      </c>
      <c r="AS40" s="17">
        <f t="shared" si="1"/>
        <v>16.625</v>
      </c>
      <c r="AT40" s="7">
        <f t="shared" si="2"/>
        <v>0</v>
      </c>
      <c r="AU40" s="7">
        <f t="shared" si="2"/>
        <v>70</v>
      </c>
      <c r="AV40" s="25">
        <f t="shared" si="3"/>
        <v>31.25</v>
      </c>
      <c r="AW40" s="41"/>
      <c r="AX40" s="41"/>
      <c r="AY40" s="16">
        <f t="shared" si="36"/>
        <v>0</v>
      </c>
      <c r="AZ40" s="16">
        <f t="shared" si="25"/>
        <v>50</v>
      </c>
      <c r="BA40" s="7">
        <f t="shared" si="26"/>
        <v>0</v>
      </c>
      <c r="BB40" s="41"/>
      <c r="BC40" s="7">
        <f t="shared" si="27"/>
        <v>0</v>
      </c>
      <c r="BD40" s="23">
        <f>IF(BB40="A",0,VLOOKUP(BC40,'Transmutation Table'!$A$2:$B$32,2))</f>
        <v>70</v>
      </c>
      <c r="BE40" s="7">
        <f t="shared" si="28"/>
        <v>0</v>
      </c>
      <c r="BF40" s="41"/>
      <c r="BG40" s="7">
        <f t="shared" si="29"/>
        <v>0</v>
      </c>
      <c r="BH40" s="23">
        <f>IF(BF40="A",0,VLOOKUP(BG40,'Transmutation Table'!$A$2:$B$32,2))</f>
        <v>70</v>
      </c>
      <c r="BI40" s="7">
        <f t="shared" si="30"/>
        <v>0</v>
      </c>
      <c r="BJ40" s="41"/>
      <c r="BK40" s="7">
        <f>IFERROR(BJ40/#REF!*100,0)</f>
        <v>0</v>
      </c>
      <c r="BL40" s="23">
        <f>IF(BJ40="A",0,VLOOKUP(BK40,'Transmutation Table'!$A$2:$B$32,2))</f>
        <v>70</v>
      </c>
      <c r="BM40" s="7">
        <f t="shared" si="31"/>
        <v>0</v>
      </c>
      <c r="BN40" s="7">
        <f t="shared" si="32"/>
        <v>0</v>
      </c>
      <c r="BO40" s="7">
        <f t="shared" si="33"/>
        <v>0</v>
      </c>
      <c r="BP40" s="7">
        <v>0</v>
      </c>
      <c r="BQ40" s="13">
        <f t="shared" si="37"/>
        <v>0</v>
      </c>
      <c r="BR40" s="7">
        <f t="shared" si="4"/>
        <v>71.5</v>
      </c>
      <c r="BS40" s="23">
        <f>IFERROR(VLOOKUP(BR40,'Transmutation Table'!$B$2:$V$32,2),5)</f>
        <v>5</v>
      </c>
      <c r="BT40" s="19" t="str">
        <f t="shared" si="35"/>
        <v>FAILED</v>
      </c>
    </row>
    <row r="41" spans="1:72" ht="14.4" customHeight="1" x14ac:dyDescent="0.25">
      <c r="A41" s="8">
        <v>28</v>
      </c>
      <c r="B41" s="74" t="s">
        <v>93</v>
      </c>
      <c r="C41" s="75"/>
      <c r="D41" s="47"/>
      <c r="E41" s="14" t="str">
        <f t="shared" si="5"/>
        <v>/10</v>
      </c>
      <c r="F41" s="27">
        <f>IFERROR(VLOOKUP((D41/$F$12)*100,'Transmutation Table'!$A$2:$B$32,2),0)</f>
        <v>70</v>
      </c>
      <c r="G41" s="12">
        <f t="shared" si="6"/>
        <v>40.25</v>
      </c>
      <c r="H41" s="18"/>
      <c r="I41" s="18"/>
      <c r="J41" s="18"/>
      <c r="K41" s="18"/>
      <c r="L41" s="18"/>
      <c r="M41" s="18"/>
      <c r="N41" s="18"/>
      <c r="O41" s="17">
        <f t="shared" si="7"/>
        <v>0</v>
      </c>
      <c r="P41" s="17">
        <f t="shared" si="8"/>
        <v>0</v>
      </c>
      <c r="Q41" s="7">
        <f t="shared" si="9"/>
        <v>0</v>
      </c>
      <c r="R41" s="7">
        <f t="shared" si="10"/>
        <v>100</v>
      </c>
      <c r="S41" s="44">
        <f t="shared" si="11"/>
        <v>5</v>
      </c>
      <c r="T41" s="41"/>
      <c r="U41" s="7">
        <f t="shared" si="12"/>
        <v>0</v>
      </c>
      <c r="V41" s="23">
        <f>IF(T41="A",0,VLOOKUP(U41,'Transmutation Table'!$A$2:$B$32,2))</f>
        <v>70</v>
      </c>
      <c r="W41" s="7">
        <f t="shared" si="13"/>
        <v>3.2083333333333335</v>
      </c>
      <c r="X41" s="41"/>
      <c r="Y41" s="7">
        <f t="shared" si="14"/>
        <v>0</v>
      </c>
      <c r="Z41" s="23">
        <f>IF(X41="A",0,VLOOKUP(Y41,'Transmutation Table'!$A$2:$B$32,2))</f>
        <v>70</v>
      </c>
      <c r="AA41" s="7">
        <f t="shared" si="15"/>
        <v>3.2083333333333335</v>
      </c>
      <c r="AB41" s="41"/>
      <c r="AC41" s="7">
        <f t="shared" si="16"/>
        <v>0</v>
      </c>
      <c r="AD41" s="23">
        <f>IF(AB41="A",0,VLOOKUP(AC41,'Transmutation Table'!$A$2:$B$32,2))</f>
        <v>70</v>
      </c>
      <c r="AE41" s="7">
        <f t="shared" si="17"/>
        <v>3.2083333333333335</v>
      </c>
      <c r="AF41" s="17">
        <f t="shared" si="18"/>
        <v>9.625</v>
      </c>
      <c r="AG41" s="41"/>
      <c r="AH41" s="7">
        <f t="shared" si="19"/>
        <v>0</v>
      </c>
      <c r="AI41" s="23">
        <f>IF(AG41="A",0,VLOOKUP(AH41,'Transmutation Table'!$A$2:$B$32,2))</f>
        <v>70</v>
      </c>
      <c r="AJ41" s="7">
        <f t="shared" si="20"/>
        <v>5.5416666666666661</v>
      </c>
      <c r="AK41" s="41"/>
      <c r="AL41" s="7">
        <f t="shared" si="21"/>
        <v>0</v>
      </c>
      <c r="AM41" s="23">
        <f>IF(AK41="A",0,VLOOKUP(AL41,'Transmutation Table'!$A$2:$B$32,2))</f>
        <v>70</v>
      </c>
      <c r="AN41" s="7">
        <f t="shared" si="22"/>
        <v>5.5416666666666661</v>
      </c>
      <c r="AO41" s="41"/>
      <c r="AP41" s="7">
        <f t="shared" si="23"/>
        <v>0</v>
      </c>
      <c r="AQ41" s="23">
        <f>IF(AO41="A",0,VLOOKUP(AP41,'Transmutation Table'!$A$2:$B$32,2))</f>
        <v>70</v>
      </c>
      <c r="AR41" s="7">
        <f t="shared" si="24"/>
        <v>5.5416666666666661</v>
      </c>
      <c r="AS41" s="17">
        <f t="shared" si="1"/>
        <v>16.625</v>
      </c>
      <c r="AT41" s="7">
        <f t="shared" si="2"/>
        <v>0</v>
      </c>
      <c r="AU41" s="7">
        <f t="shared" si="2"/>
        <v>70</v>
      </c>
      <c r="AV41" s="25">
        <f t="shared" si="3"/>
        <v>31.25</v>
      </c>
      <c r="AW41" s="41"/>
      <c r="AX41" s="41"/>
      <c r="AY41" s="16">
        <f t="shared" si="36"/>
        <v>0</v>
      </c>
      <c r="AZ41" s="16">
        <f t="shared" si="25"/>
        <v>50</v>
      </c>
      <c r="BA41" s="7">
        <f t="shared" si="26"/>
        <v>0</v>
      </c>
      <c r="BB41" s="41"/>
      <c r="BC41" s="7">
        <f t="shared" si="27"/>
        <v>0</v>
      </c>
      <c r="BD41" s="23">
        <f>IF(BB41="A",0,VLOOKUP(BC41,'Transmutation Table'!$A$2:$B$32,2))</f>
        <v>70</v>
      </c>
      <c r="BE41" s="7">
        <f t="shared" si="28"/>
        <v>0</v>
      </c>
      <c r="BF41" s="41"/>
      <c r="BG41" s="7">
        <f t="shared" si="29"/>
        <v>0</v>
      </c>
      <c r="BH41" s="23">
        <f>IF(BF41="A",0,VLOOKUP(BG41,'Transmutation Table'!$A$2:$B$32,2))</f>
        <v>70</v>
      </c>
      <c r="BI41" s="7">
        <f t="shared" si="30"/>
        <v>0</v>
      </c>
      <c r="BJ41" s="41"/>
      <c r="BK41" s="7">
        <f>IFERROR(BJ41/#REF!*100,0)</f>
        <v>0</v>
      </c>
      <c r="BL41" s="23">
        <f>IF(BJ41="A",0,VLOOKUP(BK41,'Transmutation Table'!$A$2:$B$32,2))</f>
        <v>70</v>
      </c>
      <c r="BM41" s="7">
        <f t="shared" si="31"/>
        <v>0</v>
      </c>
      <c r="BN41" s="7">
        <f t="shared" si="32"/>
        <v>0</v>
      </c>
      <c r="BO41" s="7">
        <f t="shared" si="33"/>
        <v>0</v>
      </c>
      <c r="BP41" s="7">
        <v>0</v>
      </c>
      <c r="BQ41" s="13">
        <f t="shared" si="37"/>
        <v>0</v>
      </c>
      <c r="BR41" s="7">
        <f t="shared" si="4"/>
        <v>71.5</v>
      </c>
      <c r="BS41" s="23">
        <f>IFERROR(VLOOKUP(BR41,'Transmutation Table'!$B$2:$V$32,2),5)</f>
        <v>5</v>
      </c>
      <c r="BT41" s="19" t="str">
        <f t="shared" si="35"/>
        <v>FAILED</v>
      </c>
    </row>
    <row r="42" spans="1:72" ht="14.4" customHeight="1" x14ac:dyDescent="0.25">
      <c r="A42" s="8">
        <v>29</v>
      </c>
      <c r="B42" s="74" t="s">
        <v>94</v>
      </c>
      <c r="C42" s="75"/>
      <c r="D42" s="47"/>
      <c r="E42" s="14" t="str">
        <f t="shared" si="5"/>
        <v>/10</v>
      </c>
      <c r="F42" s="27">
        <f>IFERROR(VLOOKUP((D42/$F$12)*100,'Transmutation Table'!$A$2:$B$32,2),0)</f>
        <v>70</v>
      </c>
      <c r="G42" s="12">
        <f t="shared" si="6"/>
        <v>40.25</v>
      </c>
      <c r="H42" s="18"/>
      <c r="I42" s="18"/>
      <c r="J42" s="18"/>
      <c r="K42" s="18"/>
      <c r="L42" s="18"/>
      <c r="M42" s="18"/>
      <c r="N42" s="18"/>
      <c r="O42" s="17">
        <f t="shared" si="7"/>
        <v>0</v>
      </c>
      <c r="P42" s="17">
        <f t="shared" si="8"/>
        <v>0</v>
      </c>
      <c r="Q42" s="7">
        <f t="shared" si="9"/>
        <v>0</v>
      </c>
      <c r="R42" s="7">
        <f t="shared" si="10"/>
        <v>100</v>
      </c>
      <c r="S42" s="44">
        <f t="shared" si="11"/>
        <v>5</v>
      </c>
      <c r="T42" s="41"/>
      <c r="U42" s="7">
        <f t="shared" si="12"/>
        <v>0</v>
      </c>
      <c r="V42" s="23">
        <f>IF(T42="A",0,VLOOKUP(U42,'Transmutation Table'!$A$2:$B$32,2))</f>
        <v>70</v>
      </c>
      <c r="W42" s="7">
        <f t="shared" si="13"/>
        <v>3.2083333333333335</v>
      </c>
      <c r="X42" s="41"/>
      <c r="Y42" s="7">
        <f t="shared" si="14"/>
        <v>0</v>
      </c>
      <c r="Z42" s="23">
        <f>IF(X42="A",0,VLOOKUP(Y42,'Transmutation Table'!$A$2:$B$32,2))</f>
        <v>70</v>
      </c>
      <c r="AA42" s="7">
        <f t="shared" si="15"/>
        <v>3.2083333333333335</v>
      </c>
      <c r="AB42" s="41"/>
      <c r="AC42" s="7">
        <f t="shared" si="16"/>
        <v>0</v>
      </c>
      <c r="AD42" s="23">
        <f>IF(AB42="A",0,VLOOKUP(AC42,'Transmutation Table'!$A$2:$B$32,2))</f>
        <v>70</v>
      </c>
      <c r="AE42" s="7">
        <f t="shared" si="17"/>
        <v>3.2083333333333335</v>
      </c>
      <c r="AF42" s="17">
        <f t="shared" si="18"/>
        <v>9.625</v>
      </c>
      <c r="AG42" s="41"/>
      <c r="AH42" s="7">
        <f t="shared" si="19"/>
        <v>0</v>
      </c>
      <c r="AI42" s="23">
        <f>IF(AG42="A",0,VLOOKUP(AH42,'Transmutation Table'!$A$2:$B$32,2))</f>
        <v>70</v>
      </c>
      <c r="AJ42" s="7">
        <f t="shared" si="20"/>
        <v>5.5416666666666661</v>
      </c>
      <c r="AK42" s="41"/>
      <c r="AL42" s="7">
        <f t="shared" si="21"/>
        <v>0</v>
      </c>
      <c r="AM42" s="23">
        <f>IF(AK42="A",0,VLOOKUP(AL42,'Transmutation Table'!$A$2:$B$32,2))</f>
        <v>70</v>
      </c>
      <c r="AN42" s="7">
        <f t="shared" si="22"/>
        <v>5.5416666666666661</v>
      </c>
      <c r="AO42" s="41"/>
      <c r="AP42" s="7">
        <f t="shared" si="23"/>
        <v>0</v>
      </c>
      <c r="AQ42" s="23">
        <f>IF(AO42="A",0,VLOOKUP(AP42,'Transmutation Table'!$A$2:$B$32,2))</f>
        <v>70</v>
      </c>
      <c r="AR42" s="7">
        <f t="shared" si="24"/>
        <v>5.5416666666666661</v>
      </c>
      <c r="AS42" s="17">
        <f t="shared" si="1"/>
        <v>16.625</v>
      </c>
      <c r="AT42" s="7">
        <f t="shared" si="2"/>
        <v>0</v>
      </c>
      <c r="AU42" s="7">
        <f t="shared" si="2"/>
        <v>70</v>
      </c>
      <c r="AV42" s="25">
        <f t="shared" si="3"/>
        <v>31.25</v>
      </c>
      <c r="AW42" s="41"/>
      <c r="AX42" s="41"/>
      <c r="AY42" s="16">
        <f t="shared" si="36"/>
        <v>0</v>
      </c>
      <c r="AZ42" s="16">
        <f t="shared" si="25"/>
        <v>50</v>
      </c>
      <c r="BA42" s="7">
        <f t="shared" si="26"/>
        <v>0</v>
      </c>
      <c r="BB42" s="41"/>
      <c r="BC42" s="7">
        <f t="shared" si="27"/>
        <v>0</v>
      </c>
      <c r="BD42" s="23">
        <f>IF(BB42="A",0,VLOOKUP(BC42,'Transmutation Table'!$A$2:$B$32,2))</f>
        <v>70</v>
      </c>
      <c r="BE42" s="7">
        <f t="shared" si="28"/>
        <v>0</v>
      </c>
      <c r="BF42" s="41"/>
      <c r="BG42" s="7">
        <f t="shared" si="29"/>
        <v>0</v>
      </c>
      <c r="BH42" s="23">
        <f>IF(BF42="A",0,VLOOKUP(BG42,'Transmutation Table'!$A$2:$B$32,2))</f>
        <v>70</v>
      </c>
      <c r="BI42" s="7">
        <f t="shared" si="30"/>
        <v>0</v>
      </c>
      <c r="BJ42" s="41"/>
      <c r="BK42" s="7">
        <f>IFERROR(BJ42/#REF!*100,0)</f>
        <v>0</v>
      </c>
      <c r="BL42" s="23">
        <f>IF(BJ42="A",0,VLOOKUP(BK42,'Transmutation Table'!$A$2:$B$32,2))</f>
        <v>70</v>
      </c>
      <c r="BM42" s="7">
        <f t="shared" si="31"/>
        <v>0</v>
      </c>
      <c r="BN42" s="7">
        <f t="shared" si="32"/>
        <v>0</v>
      </c>
      <c r="BO42" s="7">
        <f t="shared" si="33"/>
        <v>0</v>
      </c>
      <c r="BP42" s="7">
        <v>0</v>
      </c>
      <c r="BQ42" s="13">
        <f t="shared" si="37"/>
        <v>0</v>
      </c>
      <c r="BR42" s="7">
        <f t="shared" si="4"/>
        <v>71.5</v>
      </c>
      <c r="BS42" s="23">
        <f>IFERROR(VLOOKUP(BR42,'Transmutation Table'!$B$2:$V$32,2),5)</f>
        <v>5</v>
      </c>
      <c r="BT42" s="19" t="str">
        <f t="shared" si="35"/>
        <v>FAILED</v>
      </c>
    </row>
    <row r="43" spans="1:72" ht="14.4" customHeight="1" x14ac:dyDescent="0.25">
      <c r="A43" s="8">
        <v>30</v>
      </c>
      <c r="B43" s="74" t="s">
        <v>95</v>
      </c>
      <c r="C43" s="75"/>
      <c r="D43" s="47"/>
      <c r="E43" s="14" t="str">
        <f t="shared" si="5"/>
        <v>/10</v>
      </c>
      <c r="F43" s="27">
        <f>IFERROR(VLOOKUP((D43/$F$12)*100,'Transmutation Table'!$A$2:$B$32,2),0)</f>
        <v>70</v>
      </c>
      <c r="G43" s="12">
        <f t="shared" si="6"/>
        <v>40.25</v>
      </c>
      <c r="H43" s="18"/>
      <c r="I43" s="18"/>
      <c r="J43" s="18"/>
      <c r="K43" s="18"/>
      <c r="L43" s="18"/>
      <c r="M43" s="18"/>
      <c r="N43" s="18"/>
      <c r="O43" s="17">
        <f t="shared" si="7"/>
        <v>0</v>
      </c>
      <c r="P43" s="17">
        <f t="shared" si="8"/>
        <v>0</v>
      </c>
      <c r="Q43" s="7">
        <f t="shared" si="9"/>
        <v>0</v>
      </c>
      <c r="R43" s="7">
        <f t="shared" si="10"/>
        <v>100</v>
      </c>
      <c r="S43" s="44">
        <f t="shared" si="11"/>
        <v>5</v>
      </c>
      <c r="T43" s="41"/>
      <c r="U43" s="7">
        <f t="shared" si="12"/>
        <v>0</v>
      </c>
      <c r="V43" s="23">
        <f>IF(T43="A",0,VLOOKUP(U43,'Transmutation Table'!$A$2:$B$32,2))</f>
        <v>70</v>
      </c>
      <c r="W43" s="7">
        <f t="shared" si="13"/>
        <v>3.2083333333333335</v>
      </c>
      <c r="X43" s="41"/>
      <c r="Y43" s="7">
        <f t="shared" si="14"/>
        <v>0</v>
      </c>
      <c r="Z43" s="23">
        <f>IF(X43="A",0,VLOOKUP(Y43,'Transmutation Table'!$A$2:$B$32,2))</f>
        <v>70</v>
      </c>
      <c r="AA43" s="7">
        <f t="shared" si="15"/>
        <v>3.2083333333333335</v>
      </c>
      <c r="AB43" s="41"/>
      <c r="AC43" s="7">
        <f t="shared" si="16"/>
        <v>0</v>
      </c>
      <c r="AD43" s="23">
        <f>IF(AB43="A",0,VLOOKUP(AC43,'Transmutation Table'!$A$2:$B$32,2))</f>
        <v>70</v>
      </c>
      <c r="AE43" s="7">
        <f t="shared" si="17"/>
        <v>3.2083333333333335</v>
      </c>
      <c r="AF43" s="17">
        <f t="shared" si="18"/>
        <v>9.625</v>
      </c>
      <c r="AG43" s="41"/>
      <c r="AH43" s="7">
        <f t="shared" si="19"/>
        <v>0</v>
      </c>
      <c r="AI43" s="23">
        <f>IF(AG43="A",0,VLOOKUP(AH43,'Transmutation Table'!$A$2:$B$32,2))</f>
        <v>70</v>
      </c>
      <c r="AJ43" s="7">
        <f t="shared" si="20"/>
        <v>5.5416666666666661</v>
      </c>
      <c r="AK43" s="41"/>
      <c r="AL43" s="7">
        <f t="shared" si="21"/>
        <v>0</v>
      </c>
      <c r="AM43" s="23">
        <f>IF(AK43="A",0,VLOOKUP(AL43,'Transmutation Table'!$A$2:$B$32,2))</f>
        <v>70</v>
      </c>
      <c r="AN43" s="7">
        <f t="shared" si="22"/>
        <v>5.5416666666666661</v>
      </c>
      <c r="AO43" s="41"/>
      <c r="AP43" s="7">
        <f t="shared" si="23"/>
        <v>0</v>
      </c>
      <c r="AQ43" s="23">
        <f>IF(AO43="A",0,VLOOKUP(AP43,'Transmutation Table'!$A$2:$B$32,2))</f>
        <v>70</v>
      </c>
      <c r="AR43" s="7">
        <f t="shared" si="24"/>
        <v>5.5416666666666661</v>
      </c>
      <c r="AS43" s="17">
        <f t="shared" si="1"/>
        <v>16.625</v>
      </c>
      <c r="AT43" s="7">
        <f t="shared" si="2"/>
        <v>0</v>
      </c>
      <c r="AU43" s="7">
        <f t="shared" si="2"/>
        <v>70</v>
      </c>
      <c r="AV43" s="25">
        <f t="shared" si="3"/>
        <v>31.25</v>
      </c>
      <c r="AW43" s="41"/>
      <c r="AX43" s="41"/>
      <c r="AY43" s="16">
        <f t="shared" si="36"/>
        <v>0</v>
      </c>
      <c r="AZ43" s="16">
        <f t="shared" si="25"/>
        <v>50</v>
      </c>
      <c r="BA43" s="7">
        <f t="shared" si="26"/>
        <v>0</v>
      </c>
      <c r="BB43" s="41"/>
      <c r="BC43" s="7">
        <f t="shared" si="27"/>
        <v>0</v>
      </c>
      <c r="BD43" s="23">
        <f>IF(BB43="A",0,VLOOKUP(BC43,'Transmutation Table'!$A$2:$B$32,2))</f>
        <v>70</v>
      </c>
      <c r="BE43" s="7">
        <f t="shared" si="28"/>
        <v>0</v>
      </c>
      <c r="BF43" s="41"/>
      <c r="BG43" s="7">
        <f t="shared" si="29"/>
        <v>0</v>
      </c>
      <c r="BH43" s="23">
        <f>IF(BF43="A",0,VLOOKUP(BG43,'Transmutation Table'!$A$2:$B$32,2))</f>
        <v>70</v>
      </c>
      <c r="BI43" s="7">
        <f t="shared" si="30"/>
        <v>0</v>
      </c>
      <c r="BJ43" s="41"/>
      <c r="BK43" s="7">
        <f>IFERROR(BJ43/#REF!*100,0)</f>
        <v>0</v>
      </c>
      <c r="BL43" s="23">
        <f>IF(BJ43="A",0,VLOOKUP(BK43,'Transmutation Table'!$A$2:$B$32,2))</f>
        <v>70</v>
      </c>
      <c r="BM43" s="7">
        <f t="shared" si="31"/>
        <v>0</v>
      </c>
      <c r="BN43" s="7">
        <f t="shared" si="32"/>
        <v>0</v>
      </c>
      <c r="BO43" s="7">
        <f t="shared" si="33"/>
        <v>0</v>
      </c>
      <c r="BP43" s="7">
        <v>0</v>
      </c>
      <c r="BQ43" s="13">
        <f t="shared" si="37"/>
        <v>0</v>
      </c>
      <c r="BR43" s="7">
        <f t="shared" si="4"/>
        <v>71.5</v>
      </c>
      <c r="BS43" s="23">
        <f>IFERROR(VLOOKUP(BR43,'Transmutation Table'!$B$2:$V$32,2),5)</f>
        <v>5</v>
      </c>
      <c r="BT43" s="19" t="str">
        <f t="shared" si="35"/>
        <v>FAILED</v>
      </c>
    </row>
    <row r="44" spans="1:72" ht="14.4" customHeight="1" x14ac:dyDescent="0.25">
      <c r="A44" s="8">
        <v>31</v>
      </c>
      <c r="B44" s="74" t="s">
        <v>96</v>
      </c>
      <c r="C44" s="75"/>
      <c r="D44" s="47"/>
      <c r="E44" s="14" t="str">
        <f t="shared" si="5"/>
        <v>/10</v>
      </c>
      <c r="F44" s="27">
        <f>IFERROR(VLOOKUP((D44/$F$12)*100,'Transmutation Table'!$A$2:$B$32,2),0)</f>
        <v>70</v>
      </c>
      <c r="G44" s="12">
        <f t="shared" si="6"/>
        <v>40.25</v>
      </c>
      <c r="H44" s="18"/>
      <c r="I44" s="18"/>
      <c r="J44" s="18"/>
      <c r="K44" s="18"/>
      <c r="L44" s="18"/>
      <c r="M44" s="18"/>
      <c r="N44" s="18"/>
      <c r="O44" s="17">
        <f t="shared" si="7"/>
        <v>0</v>
      </c>
      <c r="P44" s="17">
        <f t="shared" si="8"/>
        <v>0</v>
      </c>
      <c r="Q44" s="7">
        <f t="shared" si="9"/>
        <v>0</v>
      </c>
      <c r="R44" s="7">
        <f t="shared" si="10"/>
        <v>100</v>
      </c>
      <c r="S44" s="44">
        <f t="shared" si="11"/>
        <v>5</v>
      </c>
      <c r="T44" s="41"/>
      <c r="U44" s="7">
        <f t="shared" si="12"/>
        <v>0</v>
      </c>
      <c r="V44" s="23">
        <f>IF(T44="A",0,VLOOKUP(U44,'Transmutation Table'!$A$2:$B$32,2))</f>
        <v>70</v>
      </c>
      <c r="W44" s="7">
        <f t="shared" si="13"/>
        <v>3.2083333333333335</v>
      </c>
      <c r="X44" s="41"/>
      <c r="Y44" s="7">
        <f t="shared" si="14"/>
        <v>0</v>
      </c>
      <c r="Z44" s="23">
        <f>IF(X44="A",0,VLOOKUP(Y44,'Transmutation Table'!$A$2:$B$32,2))</f>
        <v>70</v>
      </c>
      <c r="AA44" s="7">
        <f t="shared" si="15"/>
        <v>3.2083333333333335</v>
      </c>
      <c r="AB44" s="41"/>
      <c r="AC44" s="7">
        <f t="shared" si="16"/>
        <v>0</v>
      </c>
      <c r="AD44" s="23">
        <f>IF(AB44="A",0,VLOOKUP(AC44,'Transmutation Table'!$A$2:$B$32,2))</f>
        <v>70</v>
      </c>
      <c r="AE44" s="7">
        <f t="shared" si="17"/>
        <v>3.2083333333333335</v>
      </c>
      <c r="AF44" s="17">
        <f t="shared" si="18"/>
        <v>9.625</v>
      </c>
      <c r="AG44" s="41"/>
      <c r="AH44" s="7">
        <f t="shared" si="19"/>
        <v>0</v>
      </c>
      <c r="AI44" s="23">
        <f>IF(AG44="A",0,VLOOKUP(AH44,'Transmutation Table'!$A$2:$B$32,2))</f>
        <v>70</v>
      </c>
      <c r="AJ44" s="7">
        <f t="shared" si="20"/>
        <v>5.5416666666666661</v>
      </c>
      <c r="AK44" s="41"/>
      <c r="AL44" s="7">
        <f t="shared" si="21"/>
        <v>0</v>
      </c>
      <c r="AM44" s="23">
        <f>IF(AK44="A",0,VLOOKUP(AL44,'Transmutation Table'!$A$2:$B$32,2))</f>
        <v>70</v>
      </c>
      <c r="AN44" s="7">
        <f t="shared" si="22"/>
        <v>5.5416666666666661</v>
      </c>
      <c r="AO44" s="41"/>
      <c r="AP44" s="7">
        <f t="shared" si="23"/>
        <v>0</v>
      </c>
      <c r="AQ44" s="23">
        <f>IF(AO44="A",0,VLOOKUP(AP44,'Transmutation Table'!$A$2:$B$32,2))</f>
        <v>70</v>
      </c>
      <c r="AR44" s="7">
        <f t="shared" si="24"/>
        <v>5.5416666666666661</v>
      </c>
      <c r="AS44" s="17">
        <f t="shared" si="1"/>
        <v>16.625</v>
      </c>
      <c r="AT44" s="7">
        <f t="shared" si="2"/>
        <v>0</v>
      </c>
      <c r="AU44" s="7">
        <f t="shared" si="2"/>
        <v>70</v>
      </c>
      <c r="AV44" s="25">
        <f t="shared" si="3"/>
        <v>31.25</v>
      </c>
      <c r="AW44" s="41"/>
      <c r="AX44" s="41"/>
      <c r="AY44" s="16">
        <f t="shared" si="36"/>
        <v>0</v>
      </c>
      <c r="AZ44" s="16">
        <f t="shared" si="25"/>
        <v>50</v>
      </c>
      <c r="BA44" s="7">
        <f t="shared" si="26"/>
        <v>0</v>
      </c>
      <c r="BB44" s="41"/>
      <c r="BC44" s="7">
        <f t="shared" si="27"/>
        <v>0</v>
      </c>
      <c r="BD44" s="23">
        <f>IF(BB44="A",0,VLOOKUP(BC44,'Transmutation Table'!$A$2:$B$32,2))</f>
        <v>70</v>
      </c>
      <c r="BE44" s="7">
        <f t="shared" si="28"/>
        <v>0</v>
      </c>
      <c r="BF44" s="41"/>
      <c r="BG44" s="7">
        <f t="shared" si="29"/>
        <v>0</v>
      </c>
      <c r="BH44" s="23">
        <f>IF(BF44="A",0,VLOOKUP(BG44,'Transmutation Table'!$A$2:$B$32,2))</f>
        <v>70</v>
      </c>
      <c r="BI44" s="7">
        <f t="shared" si="30"/>
        <v>0</v>
      </c>
      <c r="BJ44" s="41"/>
      <c r="BK44" s="7">
        <f>IFERROR(BJ44/#REF!*100,0)</f>
        <v>0</v>
      </c>
      <c r="BL44" s="23">
        <f>IF(BJ44="A",0,VLOOKUP(BK44,'Transmutation Table'!$A$2:$B$32,2))</f>
        <v>70</v>
      </c>
      <c r="BM44" s="7">
        <f t="shared" si="31"/>
        <v>0</v>
      </c>
      <c r="BN44" s="7">
        <f t="shared" si="32"/>
        <v>0</v>
      </c>
      <c r="BO44" s="7">
        <f t="shared" si="33"/>
        <v>0</v>
      </c>
      <c r="BP44" s="7">
        <v>0</v>
      </c>
      <c r="BQ44" s="13">
        <f t="shared" si="37"/>
        <v>0</v>
      </c>
      <c r="BR44" s="7">
        <f t="shared" si="4"/>
        <v>71.5</v>
      </c>
      <c r="BS44" s="23">
        <f>IFERROR(VLOOKUP(BR44,'Transmutation Table'!$B$2:$V$32,2),5)</f>
        <v>5</v>
      </c>
      <c r="BT44" s="19" t="str">
        <f t="shared" si="35"/>
        <v>FAILED</v>
      </c>
    </row>
    <row r="45" spans="1:72" ht="14.4" customHeight="1" x14ac:dyDescent="0.25">
      <c r="A45" s="8">
        <v>32</v>
      </c>
      <c r="B45" s="74" t="s">
        <v>97</v>
      </c>
      <c r="C45" s="75"/>
      <c r="D45" s="47"/>
      <c r="E45" s="14" t="str">
        <f t="shared" si="5"/>
        <v>/10</v>
      </c>
      <c r="F45" s="27">
        <f>IFERROR(VLOOKUP((D45/$F$12)*100,'Transmutation Table'!$A$2:$B$32,2),0)</f>
        <v>70</v>
      </c>
      <c r="G45" s="12">
        <f t="shared" si="6"/>
        <v>40.25</v>
      </c>
      <c r="H45" s="18"/>
      <c r="I45" s="18"/>
      <c r="J45" s="18"/>
      <c r="K45" s="18"/>
      <c r="L45" s="18"/>
      <c r="M45" s="18"/>
      <c r="N45" s="18"/>
      <c r="O45" s="17">
        <f t="shared" si="7"/>
        <v>0</v>
      </c>
      <c r="P45" s="17">
        <f t="shared" si="8"/>
        <v>0</v>
      </c>
      <c r="Q45" s="7">
        <f t="shared" si="9"/>
        <v>0</v>
      </c>
      <c r="R45" s="7">
        <f t="shared" si="10"/>
        <v>100</v>
      </c>
      <c r="S45" s="44">
        <f t="shared" si="11"/>
        <v>5</v>
      </c>
      <c r="T45" s="41"/>
      <c r="U45" s="7">
        <f t="shared" si="12"/>
        <v>0</v>
      </c>
      <c r="V45" s="23">
        <f>IF(T45="A",0,VLOOKUP(U45,'Transmutation Table'!$A$2:$B$32,2))</f>
        <v>70</v>
      </c>
      <c r="W45" s="7">
        <f t="shared" si="13"/>
        <v>3.2083333333333335</v>
      </c>
      <c r="X45" s="41"/>
      <c r="Y45" s="7">
        <f t="shared" si="14"/>
        <v>0</v>
      </c>
      <c r="Z45" s="23">
        <f>IF(X45="A",0,VLOOKUP(Y45,'Transmutation Table'!$A$2:$B$32,2))</f>
        <v>70</v>
      </c>
      <c r="AA45" s="7">
        <f t="shared" si="15"/>
        <v>3.2083333333333335</v>
      </c>
      <c r="AB45" s="41"/>
      <c r="AC45" s="7">
        <f t="shared" si="16"/>
        <v>0</v>
      </c>
      <c r="AD45" s="23">
        <f>IF(AB45="A",0,VLOOKUP(AC45,'Transmutation Table'!$A$2:$B$32,2))</f>
        <v>70</v>
      </c>
      <c r="AE45" s="7">
        <f t="shared" si="17"/>
        <v>3.2083333333333335</v>
      </c>
      <c r="AF45" s="17">
        <f t="shared" si="18"/>
        <v>9.625</v>
      </c>
      <c r="AG45" s="41"/>
      <c r="AH45" s="7">
        <f t="shared" si="19"/>
        <v>0</v>
      </c>
      <c r="AI45" s="23">
        <f>IF(AG45="A",0,VLOOKUP(AH45,'Transmutation Table'!$A$2:$B$32,2))</f>
        <v>70</v>
      </c>
      <c r="AJ45" s="7">
        <f t="shared" si="20"/>
        <v>5.5416666666666661</v>
      </c>
      <c r="AK45" s="41"/>
      <c r="AL45" s="7">
        <f t="shared" si="21"/>
        <v>0</v>
      </c>
      <c r="AM45" s="23">
        <f>IF(AK45="A",0,VLOOKUP(AL45,'Transmutation Table'!$A$2:$B$32,2))</f>
        <v>70</v>
      </c>
      <c r="AN45" s="7">
        <f t="shared" si="22"/>
        <v>5.5416666666666661</v>
      </c>
      <c r="AO45" s="41"/>
      <c r="AP45" s="7">
        <f t="shared" si="23"/>
        <v>0</v>
      </c>
      <c r="AQ45" s="23">
        <f>IF(AO45="A",0,VLOOKUP(AP45,'Transmutation Table'!$A$2:$B$32,2))</f>
        <v>70</v>
      </c>
      <c r="AR45" s="7">
        <f t="shared" si="24"/>
        <v>5.5416666666666661</v>
      </c>
      <c r="AS45" s="17">
        <f t="shared" si="1"/>
        <v>16.625</v>
      </c>
      <c r="AT45" s="7">
        <f t="shared" si="2"/>
        <v>0</v>
      </c>
      <c r="AU45" s="7">
        <f t="shared" si="2"/>
        <v>70</v>
      </c>
      <c r="AV45" s="25">
        <f t="shared" si="3"/>
        <v>31.25</v>
      </c>
      <c r="AW45" s="41"/>
      <c r="AX45" s="41"/>
      <c r="AY45" s="16">
        <f t="shared" si="36"/>
        <v>0</v>
      </c>
      <c r="AZ45" s="16">
        <f t="shared" si="25"/>
        <v>50</v>
      </c>
      <c r="BA45" s="7">
        <f t="shared" si="26"/>
        <v>0</v>
      </c>
      <c r="BB45" s="41"/>
      <c r="BC45" s="7">
        <f t="shared" si="27"/>
        <v>0</v>
      </c>
      <c r="BD45" s="23">
        <f>IF(BB45="A",0,VLOOKUP(BC45,'Transmutation Table'!$A$2:$B$32,2))</f>
        <v>70</v>
      </c>
      <c r="BE45" s="7">
        <f t="shared" si="28"/>
        <v>0</v>
      </c>
      <c r="BF45" s="41"/>
      <c r="BG45" s="7">
        <f t="shared" si="29"/>
        <v>0</v>
      </c>
      <c r="BH45" s="23">
        <f>IF(BF45="A",0,VLOOKUP(BG45,'Transmutation Table'!$A$2:$B$32,2))</f>
        <v>70</v>
      </c>
      <c r="BI45" s="7">
        <f t="shared" si="30"/>
        <v>0</v>
      </c>
      <c r="BJ45" s="41"/>
      <c r="BK45" s="7">
        <f>IFERROR(BJ45/#REF!*100,0)</f>
        <v>0</v>
      </c>
      <c r="BL45" s="23">
        <f>IF(BJ45="A",0,VLOOKUP(BK45,'Transmutation Table'!$A$2:$B$32,2))</f>
        <v>70</v>
      </c>
      <c r="BM45" s="7">
        <f t="shared" si="31"/>
        <v>0</v>
      </c>
      <c r="BN45" s="7">
        <f t="shared" si="32"/>
        <v>0</v>
      </c>
      <c r="BO45" s="7">
        <f t="shared" si="33"/>
        <v>0</v>
      </c>
      <c r="BP45" s="7">
        <v>0</v>
      </c>
      <c r="BQ45" s="13">
        <f t="shared" si="37"/>
        <v>0</v>
      </c>
      <c r="BR45" s="7">
        <f t="shared" si="4"/>
        <v>71.5</v>
      </c>
      <c r="BS45" s="23">
        <f>IFERROR(VLOOKUP(BR45,'Transmutation Table'!$B$2:$V$32,2),5)</f>
        <v>5</v>
      </c>
      <c r="BT45" s="19" t="str">
        <f t="shared" si="35"/>
        <v>FAILED</v>
      </c>
    </row>
    <row r="46" spans="1:72" x14ac:dyDescent="0.25">
      <c r="A46" s="8">
        <v>33</v>
      </c>
      <c r="B46" s="74" t="s">
        <v>98</v>
      </c>
      <c r="C46" s="75"/>
      <c r="D46" s="47"/>
      <c r="E46" s="14" t="str">
        <f t="shared" si="5"/>
        <v>/10</v>
      </c>
      <c r="F46" s="27">
        <f>IFERROR(VLOOKUP((D46/$F$12)*100,'Transmutation Table'!$A$2:$B$32,2),0)</f>
        <v>70</v>
      </c>
      <c r="G46" s="12">
        <f t="shared" si="6"/>
        <v>40.25</v>
      </c>
      <c r="H46" s="18"/>
      <c r="I46" s="18"/>
      <c r="J46" s="18"/>
      <c r="K46" s="18"/>
      <c r="L46" s="18"/>
      <c r="M46" s="18"/>
      <c r="N46" s="18"/>
      <c r="O46" s="17">
        <f t="shared" si="7"/>
        <v>0</v>
      </c>
      <c r="P46" s="17">
        <f t="shared" si="8"/>
        <v>0</v>
      </c>
      <c r="Q46" s="7">
        <f t="shared" si="9"/>
        <v>0</v>
      </c>
      <c r="R46" s="7">
        <f t="shared" si="10"/>
        <v>100</v>
      </c>
      <c r="S46" s="44">
        <f t="shared" si="11"/>
        <v>5</v>
      </c>
      <c r="T46" s="41"/>
      <c r="U46" s="7">
        <f t="shared" si="12"/>
        <v>0</v>
      </c>
      <c r="V46" s="23">
        <f>IF(T46="A",0,VLOOKUP(U46,'Transmutation Table'!$A$2:$B$32,2))</f>
        <v>70</v>
      </c>
      <c r="W46" s="7">
        <f t="shared" si="13"/>
        <v>3.2083333333333335</v>
      </c>
      <c r="X46" s="41"/>
      <c r="Y46" s="7">
        <f t="shared" si="14"/>
        <v>0</v>
      </c>
      <c r="Z46" s="23">
        <f>IF(X46="A",0,VLOOKUP(Y46,'Transmutation Table'!$A$2:$B$32,2))</f>
        <v>70</v>
      </c>
      <c r="AA46" s="7">
        <f t="shared" si="15"/>
        <v>3.2083333333333335</v>
      </c>
      <c r="AB46" s="41"/>
      <c r="AC46" s="7">
        <f t="shared" si="16"/>
        <v>0</v>
      </c>
      <c r="AD46" s="23">
        <f>IF(AB46="A",0,VLOOKUP(AC46,'Transmutation Table'!$A$2:$B$32,2))</f>
        <v>70</v>
      </c>
      <c r="AE46" s="7">
        <f t="shared" si="17"/>
        <v>3.2083333333333335</v>
      </c>
      <c r="AF46" s="17">
        <f t="shared" si="18"/>
        <v>9.625</v>
      </c>
      <c r="AG46" s="41"/>
      <c r="AH46" s="7">
        <f t="shared" si="19"/>
        <v>0</v>
      </c>
      <c r="AI46" s="23">
        <f>IF(AG46="A",0,VLOOKUP(AH46,'Transmutation Table'!$A$2:$B$32,2))</f>
        <v>70</v>
      </c>
      <c r="AJ46" s="7">
        <f t="shared" si="20"/>
        <v>5.5416666666666661</v>
      </c>
      <c r="AK46" s="41"/>
      <c r="AL46" s="7">
        <f t="shared" si="21"/>
        <v>0</v>
      </c>
      <c r="AM46" s="23">
        <f>IF(AK46="A",0,VLOOKUP(AL46,'Transmutation Table'!$A$2:$B$32,2))</f>
        <v>70</v>
      </c>
      <c r="AN46" s="7">
        <f t="shared" si="22"/>
        <v>5.5416666666666661</v>
      </c>
      <c r="AO46" s="41"/>
      <c r="AP46" s="7">
        <f t="shared" si="23"/>
        <v>0</v>
      </c>
      <c r="AQ46" s="23">
        <f>IF(AO46="A",0,VLOOKUP(AP46,'Transmutation Table'!$A$2:$B$32,2))</f>
        <v>70</v>
      </c>
      <c r="AR46" s="7">
        <f t="shared" si="24"/>
        <v>5.5416666666666661</v>
      </c>
      <c r="AS46" s="17">
        <f t="shared" si="1"/>
        <v>16.625</v>
      </c>
      <c r="AT46" s="7">
        <f t="shared" si="2"/>
        <v>0</v>
      </c>
      <c r="AU46" s="7">
        <f t="shared" si="2"/>
        <v>70</v>
      </c>
      <c r="AV46" s="25">
        <f t="shared" si="3"/>
        <v>31.25</v>
      </c>
      <c r="AW46" s="41"/>
      <c r="AX46" s="41"/>
      <c r="AY46" s="16">
        <f t="shared" si="36"/>
        <v>0</v>
      </c>
      <c r="AZ46" s="16">
        <f t="shared" si="25"/>
        <v>50</v>
      </c>
      <c r="BA46" s="7">
        <f t="shared" si="26"/>
        <v>0</v>
      </c>
      <c r="BB46" s="41"/>
      <c r="BC46" s="7">
        <f t="shared" si="27"/>
        <v>0</v>
      </c>
      <c r="BD46" s="23">
        <f>IF(BB46="A",0,VLOOKUP(BC46,'Transmutation Table'!$A$2:$B$32,2))</f>
        <v>70</v>
      </c>
      <c r="BE46" s="7">
        <f t="shared" si="28"/>
        <v>0</v>
      </c>
      <c r="BF46" s="41"/>
      <c r="BG46" s="7">
        <f t="shared" si="29"/>
        <v>0</v>
      </c>
      <c r="BH46" s="23">
        <f>IF(BF46="A",0,VLOOKUP(BG46,'Transmutation Table'!$A$2:$B$32,2))</f>
        <v>70</v>
      </c>
      <c r="BI46" s="7">
        <f t="shared" si="30"/>
        <v>0</v>
      </c>
      <c r="BJ46" s="41"/>
      <c r="BK46" s="7">
        <f>IFERROR(BJ46/#REF!*100,0)</f>
        <v>0</v>
      </c>
      <c r="BL46" s="23">
        <f>IF(BJ46="A",0,VLOOKUP(BK46,'Transmutation Table'!$A$2:$B$32,2))</f>
        <v>70</v>
      </c>
      <c r="BM46" s="7">
        <f t="shared" si="31"/>
        <v>0</v>
      </c>
      <c r="BN46" s="7">
        <f t="shared" si="32"/>
        <v>0</v>
      </c>
      <c r="BO46" s="7">
        <f t="shared" si="33"/>
        <v>0</v>
      </c>
      <c r="BP46" s="7">
        <v>0</v>
      </c>
      <c r="BQ46" s="13">
        <f t="shared" si="37"/>
        <v>0</v>
      </c>
      <c r="BR46" s="7">
        <f t="shared" si="4"/>
        <v>71.5</v>
      </c>
      <c r="BS46" s="23">
        <f>IFERROR(VLOOKUP(BR46,'Transmutation Table'!$B$2:$V$32,2),5)</f>
        <v>5</v>
      </c>
      <c r="BT46" s="19" t="str">
        <f t="shared" si="35"/>
        <v>FAILED</v>
      </c>
    </row>
    <row r="47" spans="1:72" x14ac:dyDescent="0.25">
      <c r="A47" s="8">
        <v>34</v>
      </c>
      <c r="B47" s="74" t="s">
        <v>99</v>
      </c>
      <c r="C47" s="75"/>
      <c r="D47" s="47"/>
      <c r="E47" s="14" t="str">
        <f t="shared" si="5"/>
        <v>/10</v>
      </c>
      <c r="F47" s="27">
        <f>IFERROR(VLOOKUP((D47/$F$12)*100,'Transmutation Table'!$A$2:$B$32,2),0)</f>
        <v>70</v>
      </c>
      <c r="G47" s="12">
        <f t="shared" si="6"/>
        <v>40.25</v>
      </c>
      <c r="H47" s="18"/>
      <c r="I47" s="18"/>
      <c r="J47" s="18"/>
      <c r="K47" s="18"/>
      <c r="L47" s="18"/>
      <c r="M47" s="18"/>
      <c r="N47" s="18"/>
      <c r="O47" s="17">
        <f t="shared" si="7"/>
        <v>0</v>
      </c>
      <c r="P47" s="17">
        <f t="shared" si="8"/>
        <v>0</v>
      </c>
      <c r="Q47" s="7">
        <f t="shared" si="9"/>
        <v>0</v>
      </c>
      <c r="R47" s="7">
        <f t="shared" si="10"/>
        <v>100</v>
      </c>
      <c r="S47" s="44">
        <f t="shared" si="11"/>
        <v>5</v>
      </c>
      <c r="T47" s="41"/>
      <c r="U47" s="7">
        <f t="shared" si="12"/>
        <v>0</v>
      </c>
      <c r="V47" s="23">
        <f>IF(T47="A",0,VLOOKUP(U47,'Transmutation Table'!$A$2:$B$32,2))</f>
        <v>70</v>
      </c>
      <c r="W47" s="7">
        <f t="shared" si="13"/>
        <v>3.2083333333333335</v>
      </c>
      <c r="X47" s="41"/>
      <c r="Y47" s="7">
        <f t="shared" si="14"/>
        <v>0</v>
      </c>
      <c r="Z47" s="23">
        <f>IF(X47="A",0,VLOOKUP(Y47,'Transmutation Table'!$A$2:$B$32,2))</f>
        <v>70</v>
      </c>
      <c r="AA47" s="7">
        <f t="shared" si="15"/>
        <v>3.2083333333333335</v>
      </c>
      <c r="AB47" s="41"/>
      <c r="AC47" s="7">
        <f t="shared" si="16"/>
        <v>0</v>
      </c>
      <c r="AD47" s="23">
        <f>IF(AB47="A",0,VLOOKUP(AC47,'Transmutation Table'!$A$2:$B$32,2))</f>
        <v>70</v>
      </c>
      <c r="AE47" s="7">
        <f t="shared" si="17"/>
        <v>3.2083333333333335</v>
      </c>
      <c r="AF47" s="17">
        <f t="shared" si="18"/>
        <v>9.625</v>
      </c>
      <c r="AG47" s="41"/>
      <c r="AH47" s="7">
        <f t="shared" si="19"/>
        <v>0</v>
      </c>
      <c r="AI47" s="23">
        <f>IF(AG47="A",0,VLOOKUP(AH47,'Transmutation Table'!$A$2:$B$32,2))</f>
        <v>70</v>
      </c>
      <c r="AJ47" s="7">
        <f t="shared" si="20"/>
        <v>5.5416666666666661</v>
      </c>
      <c r="AK47" s="41"/>
      <c r="AL47" s="7">
        <f t="shared" si="21"/>
        <v>0</v>
      </c>
      <c r="AM47" s="23">
        <f>IF(AK47="A",0,VLOOKUP(AL47,'Transmutation Table'!$A$2:$B$32,2))</f>
        <v>70</v>
      </c>
      <c r="AN47" s="7">
        <f t="shared" si="22"/>
        <v>5.5416666666666661</v>
      </c>
      <c r="AO47" s="41"/>
      <c r="AP47" s="7">
        <f t="shared" si="23"/>
        <v>0</v>
      </c>
      <c r="AQ47" s="23">
        <f>IF(AO47="A",0,VLOOKUP(AP47,'Transmutation Table'!$A$2:$B$32,2))</f>
        <v>70</v>
      </c>
      <c r="AR47" s="7">
        <f t="shared" si="24"/>
        <v>5.5416666666666661</v>
      </c>
      <c r="AS47" s="17">
        <f t="shared" si="1"/>
        <v>16.625</v>
      </c>
      <c r="AT47" s="7">
        <f t="shared" si="2"/>
        <v>0</v>
      </c>
      <c r="AU47" s="7">
        <f t="shared" si="2"/>
        <v>70</v>
      </c>
      <c r="AV47" s="25">
        <f t="shared" si="3"/>
        <v>31.25</v>
      </c>
      <c r="AW47" s="41"/>
      <c r="AX47" s="41"/>
      <c r="AY47" s="16">
        <f t="shared" si="36"/>
        <v>0</v>
      </c>
      <c r="AZ47" s="16">
        <f t="shared" si="25"/>
        <v>50</v>
      </c>
      <c r="BA47" s="7">
        <f t="shared" si="26"/>
        <v>0</v>
      </c>
      <c r="BB47" s="41"/>
      <c r="BC47" s="7">
        <f t="shared" si="27"/>
        <v>0</v>
      </c>
      <c r="BD47" s="23">
        <f>IF(BB47="A",0,VLOOKUP(BC47,'Transmutation Table'!$A$2:$B$32,2))</f>
        <v>70</v>
      </c>
      <c r="BE47" s="7">
        <f t="shared" si="28"/>
        <v>0</v>
      </c>
      <c r="BF47" s="41"/>
      <c r="BG47" s="7">
        <f t="shared" si="29"/>
        <v>0</v>
      </c>
      <c r="BH47" s="23">
        <f>IF(BF47="A",0,VLOOKUP(BG47,'Transmutation Table'!$A$2:$B$32,2))</f>
        <v>70</v>
      </c>
      <c r="BI47" s="7">
        <f t="shared" si="30"/>
        <v>0</v>
      </c>
      <c r="BJ47" s="41"/>
      <c r="BK47" s="7">
        <f>IFERROR(BJ47/#REF!*100,0)</f>
        <v>0</v>
      </c>
      <c r="BL47" s="23">
        <f>IF(BJ47="A",0,VLOOKUP(BK47,'Transmutation Table'!$A$2:$B$32,2))</f>
        <v>70</v>
      </c>
      <c r="BM47" s="7">
        <f t="shared" si="31"/>
        <v>0</v>
      </c>
      <c r="BN47" s="7">
        <f t="shared" si="32"/>
        <v>0</v>
      </c>
      <c r="BO47" s="7">
        <f t="shared" si="33"/>
        <v>0</v>
      </c>
      <c r="BP47" s="7">
        <v>0</v>
      </c>
      <c r="BQ47" s="13">
        <f t="shared" si="37"/>
        <v>0</v>
      </c>
      <c r="BR47" s="7">
        <f t="shared" si="4"/>
        <v>71.5</v>
      </c>
      <c r="BS47" s="23">
        <f>IFERROR(VLOOKUP(BR47,'Transmutation Table'!$B$2:$V$32,2),5)</f>
        <v>5</v>
      </c>
      <c r="BT47" s="19" t="str">
        <f t="shared" si="35"/>
        <v>FAILED</v>
      </c>
    </row>
    <row r="48" spans="1:72" x14ac:dyDescent="0.25">
      <c r="A48" s="8">
        <v>35</v>
      </c>
      <c r="B48" s="74" t="s">
        <v>100</v>
      </c>
      <c r="C48" s="75"/>
      <c r="D48" s="47"/>
      <c r="E48" s="14" t="str">
        <f t="shared" si="5"/>
        <v>/10</v>
      </c>
      <c r="F48" s="27">
        <f>IFERROR(VLOOKUP((D48/$F$12)*100,'Transmutation Table'!$A$2:$B$32,2),0)</f>
        <v>70</v>
      </c>
      <c r="G48" s="12">
        <f t="shared" si="6"/>
        <v>40.25</v>
      </c>
      <c r="H48" s="18"/>
      <c r="I48" s="18"/>
      <c r="J48" s="18"/>
      <c r="K48" s="18"/>
      <c r="L48" s="18"/>
      <c r="M48" s="18"/>
      <c r="N48" s="18"/>
      <c r="O48" s="17">
        <f t="shared" si="7"/>
        <v>0</v>
      </c>
      <c r="P48" s="17">
        <f t="shared" si="8"/>
        <v>0</v>
      </c>
      <c r="Q48" s="7">
        <f t="shared" si="9"/>
        <v>0</v>
      </c>
      <c r="R48" s="7">
        <f t="shared" si="10"/>
        <v>100</v>
      </c>
      <c r="S48" s="44">
        <f t="shared" si="11"/>
        <v>5</v>
      </c>
      <c r="T48" s="41"/>
      <c r="U48" s="7">
        <f t="shared" si="12"/>
        <v>0</v>
      </c>
      <c r="V48" s="23">
        <f>IF(T48="A",0,VLOOKUP(U48,'Transmutation Table'!$A$2:$B$32,2))</f>
        <v>70</v>
      </c>
      <c r="W48" s="7">
        <f t="shared" si="13"/>
        <v>3.2083333333333335</v>
      </c>
      <c r="X48" s="41"/>
      <c r="Y48" s="7">
        <f t="shared" si="14"/>
        <v>0</v>
      </c>
      <c r="Z48" s="23">
        <f>IF(X48="A",0,VLOOKUP(Y48,'Transmutation Table'!$A$2:$B$32,2))</f>
        <v>70</v>
      </c>
      <c r="AA48" s="7">
        <f t="shared" si="15"/>
        <v>3.2083333333333335</v>
      </c>
      <c r="AB48" s="41"/>
      <c r="AC48" s="7">
        <f t="shared" si="16"/>
        <v>0</v>
      </c>
      <c r="AD48" s="23">
        <f>IF(AB48="A",0,VLOOKUP(AC48,'Transmutation Table'!$A$2:$B$32,2))</f>
        <v>70</v>
      </c>
      <c r="AE48" s="7">
        <f t="shared" si="17"/>
        <v>3.2083333333333335</v>
      </c>
      <c r="AF48" s="17">
        <f t="shared" si="18"/>
        <v>9.625</v>
      </c>
      <c r="AG48" s="41"/>
      <c r="AH48" s="7">
        <f t="shared" si="19"/>
        <v>0</v>
      </c>
      <c r="AI48" s="23">
        <f>IF(AG48="A",0,VLOOKUP(AH48,'Transmutation Table'!$A$2:$B$32,2))</f>
        <v>70</v>
      </c>
      <c r="AJ48" s="7">
        <f t="shared" si="20"/>
        <v>5.5416666666666661</v>
      </c>
      <c r="AK48" s="41"/>
      <c r="AL48" s="7">
        <f t="shared" si="21"/>
        <v>0</v>
      </c>
      <c r="AM48" s="23">
        <f>IF(AK48="A",0,VLOOKUP(AL48,'Transmutation Table'!$A$2:$B$32,2))</f>
        <v>70</v>
      </c>
      <c r="AN48" s="7">
        <f t="shared" si="22"/>
        <v>5.5416666666666661</v>
      </c>
      <c r="AO48" s="41"/>
      <c r="AP48" s="7">
        <f t="shared" si="23"/>
        <v>0</v>
      </c>
      <c r="AQ48" s="23">
        <f>IF(AO48="A",0,VLOOKUP(AP48,'Transmutation Table'!$A$2:$B$32,2))</f>
        <v>70</v>
      </c>
      <c r="AR48" s="7">
        <f t="shared" si="24"/>
        <v>5.5416666666666661</v>
      </c>
      <c r="AS48" s="17">
        <f t="shared" si="1"/>
        <v>16.625</v>
      </c>
      <c r="AT48" s="7">
        <f t="shared" si="2"/>
        <v>0</v>
      </c>
      <c r="AU48" s="7">
        <f t="shared" si="2"/>
        <v>70</v>
      </c>
      <c r="AV48" s="25">
        <f t="shared" si="3"/>
        <v>31.25</v>
      </c>
      <c r="AW48" s="41"/>
      <c r="AX48" s="41"/>
      <c r="AY48" s="16">
        <f t="shared" si="36"/>
        <v>0</v>
      </c>
      <c r="AZ48" s="16">
        <f t="shared" si="25"/>
        <v>50</v>
      </c>
      <c r="BA48" s="7">
        <f t="shared" si="26"/>
        <v>0</v>
      </c>
      <c r="BB48" s="41"/>
      <c r="BC48" s="7">
        <f t="shared" si="27"/>
        <v>0</v>
      </c>
      <c r="BD48" s="23">
        <f>IF(BB48="A",0,VLOOKUP(BC48,'Transmutation Table'!$A$2:$B$32,2))</f>
        <v>70</v>
      </c>
      <c r="BE48" s="7">
        <f t="shared" si="28"/>
        <v>0</v>
      </c>
      <c r="BF48" s="41"/>
      <c r="BG48" s="7">
        <f t="shared" si="29"/>
        <v>0</v>
      </c>
      <c r="BH48" s="23">
        <f>IF(BF48="A",0,VLOOKUP(BG48,'Transmutation Table'!$A$2:$B$32,2))</f>
        <v>70</v>
      </c>
      <c r="BI48" s="7">
        <f t="shared" si="30"/>
        <v>0</v>
      </c>
      <c r="BJ48" s="41"/>
      <c r="BK48" s="7">
        <f>IFERROR(BJ48/#REF!*100,0)</f>
        <v>0</v>
      </c>
      <c r="BL48" s="23">
        <f>IF(BJ48="A",0,VLOOKUP(BK48,'Transmutation Table'!$A$2:$B$32,2))</f>
        <v>70</v>
      </c>
      <c r="BM48" s="7">
        <f t="shared" si="31"/>
        <v>0</v>
      </c>
      <c r="BN48" s="7">
        <f t="shared" si="32"/>
        <v>0</v>
      </c>
      <c r="BO48" s="7">
        <f t="shared" si="33"/>
        <v>0</v>
      </c>
      <c r="BP48" s="7">
        <v>0</v>
      </c>
      <c r="BQ48" s="13">
        <f t="shared" si="37"/>
        <v>0</v>
      </c>
      <c r="BR48" s="7">
        <f t="shared" si="4"/>
        <v>71.5</v>
      </c>
      <c r="BS48" s="23">
        <f>IFERROR(VLOOKUP(BR48,'Transmutation Table'!$B$2:$V$32,2),5)</f>
        <v>5</v>
      </c>
      <c r="BT48" s="19" t="str">
        <f t="shared" si="35"/>
        <v>FAILED</v>
      </c>
    </row>
    <row r="49" spans="1:72" x14ac:dyDescent="0.25">
      <c r="A49" s="8">
        <v>36</v>
      </c>
      <c r="B49" s="74" t="s">
        <v>101</v>
      </c>
      <c r="C49" s="75"/>
      <c r="D49" s="47"/>
      <c r="E49" s="14" t="str">
        <f t="shared" si="5"/>
        <v>/10</v>
      </c>
      <c r="F49" s="27">
        <f>IFERROR(VLOOKUP((D49/$F$12)*100,'Transmutation Table'!$A$2:$B$32,2),0)</f>
        <v>70</v>
      </c>
      <c r="G49" s="12">
        <f t="shared" si="6"/>
        <v>40.25</v>
      </c>
      <c r="H49" s="18"/>
      <c r="I49" s="18"/>
      <c r="J49" s="18"/>
      <c r="K49" s="18"/>
      <c r="L49" s="18"/>
      <c r="M49" s="18"/>
      <c r="N49" s="18"/>
      <c r="O49" s="17">
        <f t="shared" si="7"/>
        <v>0</v>
      </c>
      <c r="P49" s="17">
        <f t="shared" si="8"/>
        <v>0</v>
      </c>
      <c r="Q49" s="7">
        <f t="shared" si="9"/>
        <v>0</v>
      </c>
      <c r="R49" s="7">
        <f t="shared" si="10"/>
        <v>100</v>
      </c>
      <c r="S49" s="44">
        <f t="shared" si="11"/>
        <v>5</v>
      </c>
      <c r="T49" s="41"/>
      <c r="U49" s="7">
        <f t="shared" si="12"/>
        <v>0</v>
      </c>
      <c r="V49" s="23">
        <f>IF(T49="A",0,VLOOKUP(U49,'Transmutation Table'!$A$2:$B$32,2))</f>
        <v>70</v>
      </c>
      <c r="W49" s="7">
        <f t="shared" si="13"/>
        <v>3.2083333333333335</v>
      </c>
      <c r="X49" s="41"/>
      <c r="Y49" s="7">
        <f t="shared" si="14"/>
        <v>0</v>
      </c>
      <c r="Z49" s="23">
        <f>IF(X49="A",0,VLOOKUP(Y49,'Transmutation Table'!$A$2:$B$32,2))</f>
        <v>70</v>
      </c>
      <c r="AA49" s="7">
        <f t="shared" si="15"/>
        <v>3.2083333333333335</v>
      </c>
      <c r="AB49" s="41"/>
      <c r="AC49" s="7">
        <f t="shared" si="16"/>
        <v>0</v>
      </c>
      <c r="AD49" s="23">
        <f>IF(AB49="A",0,VLOOKUP(AC49,'Transmutation Table'!$A$2:$B$32,2))</f>
        <v>70</v>
      </c>
      <c r="AE49" s="7">
        <f t="shared" si="17"/>
        <v>3.2083333333333335</v>
      </c>
      <c r="AF49" s="17">
        <f t="shared" si="18"/>
        <v>9.625</v>
      </c>
      <c r="AG49" s="41"/>
      <c r="AH49" s="7">
        <f t="shared" si="19"/>
        <v>0</v>
      </c>
      <c r="AI49" s="23">
        <f>IF(AG49="A",0,VLOOKUP(AH49,'Transmutation Table'!$A$2:$B$32,2))</f>
        <v>70</v>
      </c>
      <c r="AJ49" s="7">
        <f t="shared" si="20"/>
        <v>5.5416666666666661</v>
      </c>
      <c r="AK49" s="41"/>
      <c r="AL49" s="7">
        <f t="shared" si="21"/>
        <v>0</v>
      </c>
      <c r="AM49" s="23">
        <f>IF(AK49="A",0,VLOOKUP(AL49,'Transmutation Table'!$A$2:$B$32,2))</f>
        <v>70</v>
      </c>
      <c r="AN49" s="7">
        <f t="shared" si="22"/>
        <v>5.5416666666666661</v>
      </c>
      <c r="AO49" s="41"/>
      <c r="AP49" s="7">
        <f t="shared" si="23"/>
        <v>0</v>
      </c>
      <c r="AQ49" s="23">
        <f>IF(AO49="A",0,VLOOKUP(AP49,'Transmutation Table'!$A$2:$B$32,2))</f>
        <v>70</v>
      </c>
      <c r="AR49" s="7">
        <f t="shared" si="24"/>
        <v>5.5416666666666661</v>
      </c>
      <c r="AS49" s="17">
        <f t="shared" si="1"/>
        <v>16.625</v>
      </c>
      <c r="AT49" s="7">
        <f t="shared" si="2"/>
        <v>0</v>
      </c>
      <c r="AU49" s="7">
        <f t="shared" si="2"/>
        <v>70</v>
      </c>
      <c r="AV49" s="25">
        <f t="shared" si="3"/>
        <v>31.25</v>
      </c>
      <c r="AW49" s="41"/>
      <c r="AX49" s="41"/>
      <c r="AY49" s="16">
        <f t="shared" si="36"/>
        <v>0</v>
      </c>
      <c r="AZ49" s="16">
        <f t="shared" si="25"/>
        <v>50</v>
      </c>
      <c r="BA49" s="7">
        <f t="shared" si="26"/>
        <v>0</v>
      </c>
      <c r="BB49" s="41"/>
      <c r="BC49" s="7">
        <f t="shared" si="27"/>
        <v>0</v>
      </c>
      <c r="BD49" s="23">
        <f>IF(BB49="A",0,VLOOKUP(BC49,'Transmutation Table'!$A$2:$B$32,2))</f>
        <v>70</v>
      </c>
      <c r="BE49" s="7">
        <f t="shared" si="28"/>
        <v>0</v>
      </c>
      <c r="BF49" s="41"/>
      <c r="BG49" s="7">
        <f t="shared" si="29"/>
        <v>0</v>
      </c>
      <c r="BH49" s="23">
        <f>IF(BF49="A",0,VLOOKUP(BG49,'Transmutation Table'!$A$2:$B$32,2))</f>
        <v>70</v>
      </c>
      <c r="BI49" s="7">
        <f t="shared" si="30"/>
        <v>0</v>
      </c>
      <c r="BJ49" s="41"/>
      <c r="BK49" s="7">
        <f>IFERROR(BJ49/#REF!*100,0)</f>
        <v>0</v>
      </c>
      <c r="BL49" s="23">
        <f>IF(BJ49="A",0,VLOOKUP(BK49,'Transmutation Table'!$A$2:$B$32,2))</f>
        <v>70</v>
      </c>
      <c r="BM49" s="7">
        <f t="shared" si="31"/>
        <v>0</v>
      </c>
      <c r="BN49" s="7">
        <f t="shared" si="32"/>
        <v>0</v>
      </c>
      <c r="BO49" s="7">
        <f t="shared" si="33"/>
        <v>0</v>
      </c>
      <c r="BP49" s="7">
        <v>0</v>
      </c>
      <c r="BQ49" s="13">
        <f t="shared" si="37"/>
        <v>0</v>
      </c>
      <c r="BR49" s="7">
        <f t="shared" si="4"/>
        <v>71.5</v>
      </c>
      <c r="BS49" s="23">
        <f>IFERROR(VLOOKUP(BR49,'Transmutation Table'!$B$2:$V$32,2),5)</f>
        <v>5</v>
      </c>
      <c r="BT49" s="19" t="str">
        <f t="shared" si="35"/>
        <v>FAILED</v>
      </c>
    </row>
    <row r="50" spans="1:72" x14ac:dyDescent="0.25">
      <c r="A50" s="8">
        <v>37</v>
      </c>
      <c r="B50" s="74" t="s">
        <v>102</v>
      </c>
      <c r="C50" s="75"/>
      <c r="D50" s="47"/>
      <c r="E50" s="14" t="str">
        <f t="shared" si="5"/>
        <v>/10</v>
      </c>
      <c r="F50" s="27">
        <f>IFERROR(VLOOKUP((D50/$F$12)*100,'Transmutation Table'!$A$2:$B$32,2),0)</f>
        <v>70</v>
      </c>
      <c r="G50" s="12">
        <f t="shared" si="6"/>
        <v>40.25</v>
      </c>
      <c r="H50" s="18"/>
      <c r="I50" s="18"/>
      <c r="J50" s="18"/>
      <c r="K50" s="18"/>
      <c r="L50" s="18"/>
      <c r="M50" s="18"/>
      <c r="N50" s="18"/>
      <c r="O50" s="17">
        <f t="shared" si="7"/>
        <v>0</v>
      </c>
      <c r="P50" s="17">
        <f t="shared" si="8"/>
        <v>0</v>
      </c>
      <c r="Q50" s="7">
        <f t="shared" si="9"/>
        <v>0</v>
      </c>
      <c r="R50" s="7">
        <f t="shared" si="10"/>
        <v>100</v>
      </c>
      <c r="S50" s="44">
        <f t="shared" si="11"/>
        <v>5</v>
      </c>
      <c r="T50" s="41"/>
      <c r="U50" s="7">
        <f t="shared" si="12"/>
        <v>0</v>
      </c>
      <c r="V50" s="23">
        <f>IF(T50="A",0,VLOOKUP(U50,'Transmutation Table'!$A$2:$B$32,2))</f>
        <v>70</v>
      </c>
      <c r="W50" s="7">
        <f t="shared" si="13"/>
        <v>3.2083333333333335</v>
      </c>
      <c r="X50" s="41"/>
      <c r="Y50" s="7">
        <f t="shared" si="14"/>
        <v>0</v>
      </c>
      <c r="Z50" s="23">
        <f>IF(X50="A",0,VLOOKUP(Y50,'Transmutation Table'!$A$2:$B$32,2))</f>
        <v>70</v>
      </c>
      <c r="AA50" s="7">
        <f t="shared" si="15"/>
        <v>3.2083333333333335</v>
      </c>
      <c r="AB50" s="41"/>
      <c r="AC50" s="7">
        <f t="shared" si="16"/>
        <v>0</v>
      </c>
      <c r="AD50" s="23">
        <f>IF(AB50="A",0,VLOOKUP(AC50,'Transmutation Table'!$A$2:$B$32,2))</f>
        <v>70</v>
      </c>
      <c r="AE50" s="7">
        <f t="shared" si="17"/>
        <v>3.2083333333333335</v>
      </c>
      <c r="AF50" s="17">
        <f t="shared" si="18"/>
        <v>9.625</v>
      </c>
      <c r="AG50" s="41"/>
      <c r="AH50" s="7">
        <f t="shared" si="19"/>
        <v>0</v>
      </c>
      <c r="AI50" s="23">
        <f>IF(AG50="A",0,VLOOKUP(AH50,'Transmutation Table'!$A$2:$B$32,2))</f>
        <v>70</v>
      </c>
      <c r="AJ50" s="7">
        <f t="shared" si="20"/>
        <v>5.5416666666666661</v>
      </c>
      <c r="AK50" s="41"/>
      <c r="AL50" s="7">
        <f t="shared" si="21"/>
        <v>0</v>
      </c>
      <c r="AM50" s="23">
        <f>IF(AK50="A",0,VLOOKUP(AL50,'Transmutation Table'!$A$2:$B$32,2))</f>
        <v>70</v>
      </c>
      <c r="AN50" s="7">
        <f t="shared" si="22"/>
        <v>5.5416666666666661</v>
      </c>
      <c r="AO50" s="41"/>
      <c r="AP50" s="7">
        <f t="shared" si="23"/>
        <v>0</v>
      </c>
      <c r="AQ50" s="23">
        <f>IF(AO50="A",0,VLOOKUP(AP50,'Transmutation Table'!$A$2:$B$32,2))</f>
        <v>70</v>
      </c>
      <c r="AR50" s="7">
        <f t="shared" si="24"/>
        <v>5.5416666666666661</v>
      </c>
      <c r="AS50" s="17">
        <f t="shared" si="1"/>
        <v>16.625</v>
      </c>
      <c r="AT50" s="7">
        <f t="shared" si="2"/>
        <v>0</v>
      </c>
      <c r="AU50" s="7">
        <f t="shared" si="2"/>
        <v>70</v>
      </c>
      <c r="AV50" s="25">
        <f t="shared" si="3"/>
        <v>31.25</v>
      </c>
      <c r="AW50" s="41"/>
      <c r="AX50" s="41"/>
      <c r="AY50" s="16">
        <f t="shared" si="36"/>
        <v>0</v>
      </c>
      <c r="AZ50" s="16">
        <f t="shared" si="25"/>
        <v>50</v>
      </c>
      <c r="BA50" s="7">
        <f t="shared" si="26"/>
        <v>0</v>
      </c>
      <c r="BB50" s="41"/>
      <c r="BC50" s="7">
        <f t="shared" si="27"/>
        <v>0</v>
      </c>
      <c r="BD50" s="23">
        <f>IF(BB50="A",0,VLOOKUP(BC50,'Transmutation Table'!$A$2:$B$32,2))</f>
        <v>70</v>
      </c>
      <c r="BE50" s="7">
        <f t="shared" si="28"/>
        <v>0</v>
      </c>
      <c r="BF50" s="41"/>
      <c r="BG50" s="7">
        <f t="shared" si="29"/>
        <v>0</v>
      </c>
      <c r="BH50" s="23">
        <f>IF(BF50="A",0,VLOOKUP(BG50,'Transmutation Table'!$A$2:$B$32,2))</f>
        <v>70</v>
      </c>
      <c r="BI50" s="7">
        <f t="shared" si="30"/>
        <v>0</v>
      </c>
      <c r="BJ50" s="41"/>
      <c r="BK50" s="7">
        <f>IFERROR(BJ50/#REF!*100,0)</f>
        <v>0</v>
      </c>
      <c r="BL50" s="23">
        <f>IF(BJ50="A",0,VLOOKUP(BK50,'Transmutation Table'!$A$2:$B$32,2))</f>
        <v>70</v>
      </c>
      <c r="BM50" s="7">
        <f t="shared" si="31"/>
        <v>0</v>
      </c>
      <c r="BN50" s="7">
        <f t="shared" si="32"/>
        <v>0</v>
      </c>
      <c r="BO50" s="7">
        <f t="shared" si="33"/>
        <v>0</v>
      </c>
      <c r="BP50" s="7">
        <v>0</v>
      </c>
      <c r="BQ50" s="13">
        <f t="shared" si="37"/>
        <v>0</v>
      </c>
      <c r="BR50" s="7">
        <f t="shared" si="4"/>
        <v>71.5</v>
      </c>
      <c r="BS50" s="23">
        <f>IFERROR(VLOOKUP(BR50,'Transmutation Table'!$B$2:$V$32,2),5)</f>
        <v>5</v>
      </c>
      <c r="BT50" s="19" t="str">
        <f t="shared" si="35"/>
        <v>FAILED</v>
      </c>
    </row>
    <row r="51" spans="1:72" x14ac:dyDescent="0.25">
      <c r="A51" s="8">
        <v>38</v>
      </c>
      <c r="B51" s="74" t="s">
        <v>103</v>
      </c>
      <c r="C51" s="75"/>
      <c r="D51" s="47"/>
      <c r="E51" s="14" t="str">
        <f t="shared" si="5"/>
        <v>/10</v>
      </c>
      <c r="F51" s="27">
        <f>IFERROR(VLOOKUP((D51/$F$12)*100,'Transmutation Table'!$A$2:$B$32,2),0)</f>
        <v>70</v>
      </c>
      <c r="G51" s="12">
        <f t="shared" si="6"/>
        <v>40.25</v>
      </c>
      <c r="H51" s="18"/>
      <c r="I51" s="18"/>
      <c r="J51" s="18"/>
      <c r="K51" s="18"/>
      <c r="L51" s="18"/>
      <c r="M51" s="18"/>
      <c r="N51" s="18"/>
      <c r="O51" s="17">
        <f t="shared" si="7"/>
        <v>0</v>
      </c>
      <c r="P51" s="17">
        <f t="shared" si="8"/>
        <v>0</v>
      </c>
      <c r="Q51" s="7">
        <f t="shared" si="9"/>
        <v>0</v>
      </c>
      <c r="R51" s="7">
        <f t="shared" si="10"/>
        <v>100</v>
      </c>
      <c r="S51" s="44">
        <f t="shared" si="11"/>
        <v>5</v>
      </c>
      <c r="T51" s="41"/>
      <c r="U51" s="7">
        <f t="shared" si="12"/>
        <v>0</v>
      </c>
      <c r="V51" s="23">
        <f>IF(T51="A",0,VLOOKUP(U51,'Transmutation Table'!$A$2:$B$32,2))</f>
        <v>70</v>
      </c>
      <c r="W51" s="7">
        <f t="shared" si="13"/>
        <v>3.2083333333333335</v>
      </c>
      <c r="X51" s="41"/>
      <c r="Y51" s="7">
        <f t="shared" si="14"/>
        <v>0</v>
      </c>
      <c r="Z51" s="23">
        <f>IF(X51="A",0,VLOOKUP(Y51,'Transmutation Table'!$A$2:$B$32,2))</f>
        <v>70</v>
      </c>
      <c r="AA51" s="7">
        <f t="shared" si="15"/>
        <v>3.2083333333333335</v>
      </c>
      <c r="AB51" s="41"/>
      <c r="AC51" s="7">
        <f t="shared" si="16"/>
        <v>0</v>
      </c>
      <c r="AD51" s="23">
        <f>IF(AB51="A",0,VLOOKUP(AC51,'Transmutation Table'!$A$2:$B$32,2))</f>
        <v>70</v>
      </c>
      <c r="AE51" s="7">
        <f t="shared" si="17"/>
        <v>3.2083333333333335</v>
      </c>
      <c r="AF51" s="17">
        <f t="shared" si="18"/>
        <v>9.625</v>
      </c>
      <c r="AG51" s="41"/>
      <c r="AH51" s="7">
        <f t="shared" si="19"/>
        <v>0</v>
      </c>
      <c r="AI51" s="23">
        <f>IF(AG51="A",0,VLOOKUP(AH51,'Transmutation Table'!$A$2:$B$32,2))</f>
        <v>70</v>
      </c>
      <c r="AJ51" s="7">
        <f t="shared" si="20"/>
        <v>5.5416666666666661</v>
      </c>
      <c r="AK51" s="41"/>
      <c r="AL51" s="7">
        <f t="shared" si="21"/>
        <v>0</v>
      </c>
      <c r="AM51" s="23">
        <f>IF(AK51="A",0,VLOOKUP(AL51,'Transmutation Table'!$A$2:$B$32,2))</f>
        <v>70</v>
      </c>
      <c r="AN51" s="7">
        <f t="shared" si="22"/>
        <v>5.5416666666666661</v>
      </c>
      <c r="AO51" s="41"/>
      <c r="AP51" s="7">
        <f t="shared" si="23"/>
        <v>0</v>
      </c>
      <c r="AQ51" s="23">
        <f>IF(AO51="A",0,VLOOKUP(AP51,'Transmutation Table'!$A$2:$B$32,2))</f>
        <v>70</v>
      </c>
      <c r="AR51" s="7">
        <f t="shared" si="24"/>
        <v>5.5416666666666661</v>
      </c>
      <c r="AS51" s="17">
        <f t="shared" si="1"/>
        <v>16.625</v>
      </c>
      <c r="AT51" s="7">
        <f t="shared" si="2"/>
        <v>0</v>
      </c>
      <c r="AU51" s="7">
        <f t="shared" si="2"/>
        <v>70</v>
      </c>
      <c r="AV51" s="25">
        <f t="shared" si="3"/>
        <v>31.25</v>
      </c>
      <c r="AW51" s="41"/>
      <c r="AX51" s="41"/>
      <c r="AY51" s="16">
        <f t="shared" si="36"/>
        <v>0</v>
      </c>
      <c r="AZ51" s="16">
        <f t="shared" si="25"/>
        <v>50</v>
      </c>
      <c r="BA51" s="7">
        <f t="shared" si="26"/>
        <v>0</v>
      </c>
      <c r="BB51" s="41"/>
      <c r="BC51" s="7">
        <f t="shared" si="27"/>
        <v>0</v>
      </c>
      <c r="BD51" s="23">
        <f>IF(BB51="A",0,VLOOKUP(BC51,'Transmutation Table'!$A$2:$B$32,2))</f>
        <v>70</v>
      </c>
      <c r="BE51" s="7">
        <f t="shared" si="28"/>
        <v>0</v>
      </c>
      <c r="BF51" s="41"/>
      <c r="BG51" s="7">
        <f t="shared" si="29"/>
        <v>0</v>
      </c>
      <c r="BH51" s="23">
        <f>IF(BF51="A",0,VLOOKUP(BG51,'Transmutation Table'!$A$2:$B$32,2))</f>
        <v>70</v>
      </c>
      <c r="BI51" s="7">
        <f t="shared" si="30"/>
        <v>0</v>
      </c>
      <c r="BJ51" s="41"/>
      <c r="BK51" s="7">
        <f>IFERROR(BJ51/#REF!*100,0)</f>
        <v>0</v>
      </c>
      <c r="BL51" s="23">
        <f>IF(BJ51="A",0,VLOOKUP(BK51,'Transmutation Table'!$A$2:$B$32,2))</f>
        <v>70</v>
      </c>
      <c r="BM51" s="7">
        <f t="shared" si="31"/>
        <v>0</v>
      </c>
      <c r="BN51" s="7">
        <f t="shared" si="32"/>
        <v>0</v>
      </c>
      <c r="BO51" s="7">
        <f t="shared" si="33"/>
        <v>0</v>
      </c>
      <c r="BP51" s="7">
        <v>0</v>
      </c>
      <c r="BQ51" s="13">
        <f t="shared" si="37"/>
        <v>0</v>
      </c>
      <c r="BR51" s="7">
        <f t="shared" si="4"/>
        <v>71.5</v>
      </c>
      <c r="BS51" s="23">
        <f>IFERROR(VLOOKUP(BR51,'Transmutation Table'!$B$2:$V$32,2),5)</f>
        <v>5</v>
      </c>
      <c r="BT51" s="19" t="str">
        <f t="shared" si="35"/>
        <v>FAILED</v>
      </c>
    </row>
    <row r="52" spans="1:72" x14ac:dyDescent="0.25">
      <c r="A52" s="8">
        <v>39</v>
      </c>
      <c r="B52" s="74" t="s">
        <v>104</v>
      </c>
      <c r="C52" s="75"/>
      <c r="D52" s="47"/>
      <c r="E52" s="14" t="str">
        <f t="shared" si="5"/>
        <v>/10</v>
      </c>
      <c r="F52" s="27">
        <f>IFERROR(VLOOKUP((D52/$F$12)*100,'Transmutation Table'!$A$2:$B$32,2),0)</f>
        <v>70</v>
      </c>
      <c r="G52" s="12">
        <f t="shared" si="6"/>
        <v>40.25</v>
      </c>
      <c r="H52" s="18"/>
      <c r="I52" s="18"/>
      <c r="J52" s="18"/>
      <c r="K52" s="18"/>
      <c r="L52" s="18"/>
      <c r="M52" s="18"/>
      <c r="N52" s="18"/>
      <c r="O52" s="17">
        <f t="shared" si="7"/>
        <v>0</v>
      </c>
      <c r="P52" s="17">
        <f t="shared" si="8"/>
        <v>0</v>
      </c>
      <c r="Q52" s="7">
        <f t="shared" si="9"/>
        <v>0</v>
      </c>
      <c r="R52" s="7">
        <f t="shared" si="10"/>
        <v>100</v>
      </c>
      <c r="S52" s="44">
        <f t="shared" si="11"/>
        <v>5</v>
      </c>
      <c r="T52" s="41"/>
      <c r="U52" s="7">
        <f t="shared" si="12"/>
        <v>0</v>
      </c>
      <c r="V52" s="23">
        <f>IF(T52="A",0,VLOOKUP(U52,'Transmutation Table'!$A$2:$B$32,2))</f>
        <v>70</v>
      </c>
      <c r="W52" s="7">
        <f t="shared" si="13"/>
        <v>3.2083333333333335</v>
      </c>
      <c r="X52" s="41"/>
      <c r="Y52" s="7">
        <f t="shared" si="14"/>
        <v>0</v>
      </c>
      <c r="Z52" s="23">
        <f>IF(X52="A",0,VLOOKUP(Y52,'Transmutation Table'!$A$2:$B$32,2))</f>
        <v>70</v>
      </c>
      <c r="AA52" s="7">
        <f t="shared" si="15"/>
        <v>3.2083333333333335</v>
      </c>
      <c r="AB52" s="41"/>
      <c r="AC52" s="7">
        <f t="shared" si="16"/>
        <v>0</v>
      </c>
      <c r="AD52" s="23">
        <f>IF(AB52="A",0,VLOOKUP(AC52,'Transmutation Table'!$A$2:$B$32,2))</f>
        <v>70</v>
      </c>
      <c r="AE52" s="7">
        <f t="shared" si="17"/>
        <v>3.2083333333333335</v>
      </c>
      <c r="AF52" s="17">
        <f t="shared" si="18"/>
        <v>9.625</v>
      </c>
      <c r="AG52" s="41"/>
      <c r="AH52" s="7">
        <f t="shared" si="19"/>
        <v>0</v>
      </c>
      <c r="AI52" s="23">
        <f>IF(AG52="A",0,VLOOKUP(AH52,'Transmutation Table'!$A$2:$B$32,2))</f>
        <v>70</v>
      </c>
      <c r="AJ52" s="7">
        <f t="shared" si="20"/>
        <v>5.5416666666666661</v>
      </c>
      <c r="AK52" s="41"/>
      <c r="AL52" s="7">
        <f t="shared" si="21"/>
        <v>0</v>
      </c>
      <c r="AM52" s="23">
        <f>IF(AK52="A",0,VLOOKUP(AL52,'Transmutation Table'!$A$2:$B$32,2))</f>
        <v>70</v>
      </c>
      <c r="AN52" s="7">
        <f t="shared" si="22"/>
        <v>5.5416666666666661</v>
      </c>
      <c r="AO52" s="41"/>
      <c r="AP52" s="7">
        <f t="shared" si="23"/>
        <v>0</v>
      </c>
      <c r="AQ52" s="23">
        <f>IF(AO52="A",0,VLOOKUP(AP52,'Transmutation Table'!$A$2:$B$32,2))</f>
        <v>70</v>
      </c>
      <c r="AR52" s="7">
        <f t="shared" si="24"/>
        <v>5.5416666666666661</v>
      </c>
      <c r="AS52" s="17">
        <f t="shared" si="1"/>
        <v>16.625</v>
      </c>
      <c r="AT52" s="7">
        <f t="shared" si="2"/>
        <v>0</v>
      </c>
      <c r="AU52" s="7">
        <f t="shared" si="2"/>
        <v>70</v>
      </c>
      <c r="AV52" s="25">
        <f t="shared" si="3"/>
        <v>31.25</v>
      </c>
      <c r="AW52" s="41"/>
      <c r="AX52" s="41"/>
      <c r="AY52" s="16">
        <f t="shared" si="36"/>
        <v>0</v>
      </c>
      <c r="AZ52" s="16">
        <f t="shared" si="25"/>
        <v>50</v>
      </c>
      <c r="BA52" s="7">
        <f t="shared" si="26"/>
        <v>0</v>
      </c>
      <c r="BB52" s="41"/>
      <c r="BC52" s="7">
        <f t="shared" si="27"/>
        <v>0</v>
      </c>
      <c r="BD52" s="23">
        <f>IF(BB52="A",0,VLOOKUP(BC52,'Transmutation Table'!$A$2:$B$32,2))</f>
        <v>70</v>
      </c>
      <c r="BE52" s="7">
        <f t="shared" si="28"/>
        <v>0</v>
      </c>
      <c r="BF52" s="41"/>
      <c r="BG52" s="7">
        <f t="shared" si="29"/>
        <v>0</v>
      </c>
      <c r="BH52" s="23">
        <f>IF(BF52="A",0,VLOOKUP(BG52,'Transmutation Table'!$A$2:$B$32,2))</f>
        <v>70</v>
      </c>
      <c r="BI52" s="7">
        <f t="shared" si="30"/>
        <v>0</v>
      </c>
      <c r="BJ52" s="41"/>
      <c r="BK52" s="7">
        <f>IFERROR(BJ52/#REF!*100,0)</f>
        <v>0</v>
      </c>
      <c r="BL52" s="23">
        <f>IF(BJ52="A",0,VLOOKUP(BK52,'Transmutation Table'!$A$2:$B$32,2))</f>
        <v>70</v>
      </c>
      <c r="BM52" s="7">
        <f t="shared" si="31"/>
        <v>0</v>
      </c>
      <c r="BN52" s="7">
        <f t="shared" si="32"/>
        <v>0</v>
      </c>
      <c r="BO52" s="7">
        <f t="shared" si="33"/>
        <v>0</v>
      </c>
      <c r="BP52" s="7">
        <v>0</v>
      </c>
      <c r="BQ52" s="13">
        <f t="shared" si="37"/>
        <v>0</v>
      </c>
      <c r="BR52" s="7">
        <f t="shared" si="4"/>
        <v>71.5</v>
      </c>
      <c r="BS52" s="23">
        <f>IFERROR(VLOOKUP(BR52,'Transmutation Table'!$B$2:$V$32,2),5)</f>
        <v>5</v>
      </c>
      <c r="BT52" s="19" t="str">
        <f t="shared" si="35"/>
        <v>FAILED</v>
      </c>
    </row>
    <row r="53" spans="1:72" x14ac:dyDescent="0.25">
      <c r="A53" s="8">
        <v>40</v>
      </c>
      <c r="B53" s="74" t="s">
        <v>105</v>
      </c>
      <c r="C53" s="75"/>
      <c r="D53" s="47"/>
      <c r="E53" s="14" t="str">
        <f t="shared" si="5"/>
        <v>/10</v>
      </c>
      <c r="F53" s="27">
        <f>IFERROR(VLOOKUP((D53/$F$12)*100,'Transmutation Table'!$A$2:$B$32,2),0)</f>
        <v>70</v>
      </c>
      <c r="G53" s="12">
        <f t="shared" si="6"/>
        <v>40.25</v>
      </c>
      <c r="H53" s="18"/>
      <c r="I53" s="18"/>
      <c r="J53" s="18"/>
      <c r="K53" s="18"/>
      <c r="L53" s="18"/>
      <c r="M53" s="18"/>
      <c r="N53" s="18"/>
      <c r="O53" s="17">
        <f t="shared" si="7"/>
        <v>0</v>
      </c>
      <c r="P53" s="17">
        <f t="shared" si="8"/>
        <v>0</v>
      </c>
      <c r="Q53" s="7">
        <f t="shared" si="9"/>
        <v>0</v>
      </c>
      <c r="R53" s="7">
        <f t="shared" si="10"/>
        <v>100</v>
      </c>
      <c r="S53" s="44">
        <f t="shared" si="11"/>
        <v>5</v>
      </c>
      <c r="T53" s="41"/>
      <c r="U53" s="7">
        <f t="shared" si="12"/>
        <v>0</v>
      </c>
      <c r="V53" s="23">
        <f>IF(T53="A",0,VLOOKUP(U53,'Transmutation Table'!$A$2:$B$32,2))</f>
        <v>70</v>
      </c>
      <c r="W53" s="7">
        <f t="shared" si="13"/>
        <v>3.2083333333333335</v>
      </c>
      <c r="X53" s="41"/>
      <c r="Y53" s="7">
        <f t="shared" si="14"/>
        <v>0</v>
      </c>
      <c r="Z53" s="23">
        <f>IF(X53="A",0,VLOOKUP(Y53,'Transmutation Table'!$A$2:$B$32,2))</f>
        <v>70</v>
      </c>
      <c r="AA53" s="7">
        <f t="shared" si="15"/>
        <v>3.2083333333333335</v>
      </c>
      <c r="AB53" s="41"/>
      <c r="AC53" s="7">
        <f t="shared" si="16"/>
        <v>0</v>
      </c>
      <c r="AD53" s="23">
        <f>IF(AB53="A",0,VLOOKUP(AC53,'Transmutation Table'!$A$2:$B$32,2))</f>
        <v>70</v>
      </c>
      <c r="AE53" s="7">
        <f t="shared" si="17"/>
        <v>3.2083333333333335</v>
      </c>
      <c r="AF53" s="17">
        <f t="shared" si="18"/>
        <v>9.625</v>
      </c>
      <c r="AG53" s="41"/>
      <c r="AH53" s="7">
        <f t="shared" si="19"/>
        <v>0</v>
      </c>
      <c r="AI53" s="23">
        <f>IF(AG53="A",0,VLOOKUP(AH53,'Transmutation Table'!$A$2:$B$32,2))</f>
        <v>70</v>
      </c>
      <c r="AJ53" s="7">
        <f t="shared" si="20"/>
        <v>5.5416666666666661</v>
      </c>
      <c r="AK53" s="41"/>
      <c r="AL53" s="7">
        <f t="shared" si="21"/>
        <v>0</v>
      </c>
      <c r="AM53" s="23">
        <f>IF(AK53="A",0,VLOOKUP(AL53,'Transmutation Table'!$A$2:$B$32,2))</f>
        <v>70</v>
      </c>
      <c r="AN53" s="7">
        <f t="shared" si="22"/>
        <v>5.5416666666666661</v>
      </c>
      <c r="AO53" s="41"/>
      <c r="AP53" s="7">
        <f t="shared" si="23"/>
        <v>0</v>
      </c>
      <c r="AQ53" s="23">
        <f>IF(AO53="A",0,VLOOKUP(AP53,'Transmutation Table'!$A$2:$B$32,2))</f>
        <v>70</v>
      </c>
      <c r="AR53" s="7">
        <f t="shared" si="24"/>
        <v>5.5416666666666661</v>
      </c>
      <c r="AS53" s="17">
        <f t="shared" si="1"/>
        <v>16.625</v>
      </c>
      <c r="AT53" s="7">
        <f t="shared" si="2"/>
        <v>0</v>
      </c>
      <c r="AU53" s="7">
        <f t="shared" si="2"/>
        <v>70</v>
      </c>
      <c r="AV53" s="25">
        <f t="shared" si="3"/>
        <v>31.25</v>
      </c>
      <c r="AW53" s="41"/>
      <c r="AX53" s="41"/>
      <c r="AY53" s="16">
        <f t="shared" si="36"/>
        <v>0</v>
      </c>
      <c r="AZ53" s="16">
        <f t="shared" si="25"/>
        <v>50</v>
      </c>
      <c r="BA53" s="7">
        <f t="shared" si="26"/>
        <v>0</v>
      </c>
      <c r="BB53" s="41"/>
      <c r="BC53" s="7">
        <f t="shared" si="27"/>
        <v>0</v>
      </c>
      <c r="BD53" s="23">
        <f>IF(BB53="A",0,VLOOKUP(BC53,'Transmutation Table'!$A$2:$B$32,2))</f>
        <v>70</v>
      </c>
      <c r="BE53" s="7">
        <f t="shared" si="28"/>
        <v>0</v>
      </c>
      <c r="BF53" s="41"/>
      <c r="BG53" s="7">
        <f t="shared" si="29"/>
        <v>0</v>
      </c>
      <c r="BH53" s="23">
        <f>IF(BF53="A",0,VLOOKUP(BG53,'Transmutation Table'!$A$2:$B$32,2))</f>
        <v>70</v>
      </c>
      <c r="BI53" s="7">
        <f t="shared" si="30"/>
        <v>0</v>
      </c>
      <c r="BJ53" s="41"/>
      <c r="BK53" s="7">
        <f>IFERROR(BJ53/#REF!*100,0)</f>
        <v>0</v>
      </c>
      <c r="BL53" s="23">
        <f>IF(BJ53="A",0,VLOOKUP(BK53,'Transmutation Table'!$A$2:$B$32,2))</f>
        <v>70</v>
      </c>
      <c r="BM53" s="7">
        <f t="shared" si="31"/>
        <v>0</v>
      </c>
      <c r="BN53" s="7">
        <f t="shared" si="32"/>
        <v>0</v>
      </c>
      <c r="BO53" s="7">
        <f t="shared" si="33"/>
        <v>0</v>
      </c>
      <c r="BP53" s="7">
        <v>0</v>
      </c>
      <c r="BQ53" s="13">
        <f t="shared" si="37"/>
        <v>0</v>
      </c>
      <c r="BR53" s="7">
        <f t="shared" si="4"/>
        <v>71.5</v>
      </c>
      <c r="BS53" s="23">
        <f>IFERROR(VLOOKUP(BR53,'Transmutation Table'!$B$2:$V$32,2),5)</f>
        <v>5</v>
      </c>
      <c r="BT53" s="19" t="str">
        <f t="shared" si="35"/>
        <v>FAILED</v>
      </c>
    </row>
    <row r="54" spans="1:72" x14ac:dyDescent="0.25">
      <c r="E54" s="10"/>
    </row>
    <row r="55" spans="1:72" x14ac:dyDescent="0.25">
      <c r="E55" s="10"/>
    </row>
    <row r="56" spans="1:72" x14ac:dyDescent="0.25">
      <c r="C56" s="76" t="s">
        <v>110</v>
      </c>
      <c r="D56" s="76"/>
      <c r="E56" s="76"/>
      <c r="F56" s="76"/>
      <c r="G56" s="76"/>
    </row>
    <row r="57" spans="1:72" x14ac:dyDescent="0.25">
      <c r="C57" s="78" t="s">
        <v>36</v>
      </c>
      <c r="D57" s="78"/>
      <c r="E57" s="78"/>
      <c r="F57" s="78"/>
      <c r="G57" s="78"/>
    </row>
    <row r="58" spans="1:72" x14ac:dyDescent="0.25">
      <c r="E58" s="10"/>
    </row>
    <row r="59" spans="1:72" x14ac:dyDescent="0.25">
      <c r="B59" s="9" t="s">
        <v>39</v>
      </c>
      <c r="E59" s="10"/>
    </row>
    <row r="60" spans="1:72" x14ac:dyDescent="0.25">
      <c r="E60" s="10"/>
    </row>
    <row r="61" spans="1:72" x14ac:dyDescent="0.25">
      <c r="C61" s="76" t="s">
        <v>111</v>
      </c>
      <c r="D61" s="76"/>
      <c r="E61" s="76"/>
      <c r="F61" s="76"/>
      <c r="G61" s="76"/>
      <c r="BO61" s="76" t="s">
        <v>38</v>
      </c>
      <c r="BP61" s="76"/>
      <c r="BQ61" s="76"/>
      <c r="BR61" s="76"/>
    </row>
    <row r="62" spans="1:72" x14ac:dyDescent="0.25">
      <c r="C62" s="78" t="s">
        <v>112</v>
      </c>
      <c r="D62" s="78"/>
      <c r="E62" s="78"/>
      <c r="F62" s="78"/>
      <c r="G62" s="78"/>
      <c r="BO62" s="77" t="s">
        <v>37</v>
      </c>
      <c r="BP62" s="77"/>
      <c r="BQ62" s="77"/>
      <c r="BR62" s="77"/>
    </row>
    <row r="65" spans="8:66" ht="30" x14ac:dyDescent="0.5">
      <c r="H65" s="71" t="s">
        <v>58</v>
      </c>
      <c r="I65" s="72"/>
      <c r="J65" s="72"/>
      <c r="K65" s="72"/>
      <c r="L65" s="72"/>
      <c r="M65" s="72"/>
      <c r="N65" s="72"/>
      <c r="O65" s="72"/>
      <c r="P65" s="73"/>
      <c r="S65" s="71" t="s">
        <v>58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3"/>
      <c r="AW65" s="71" t="s">
        <v>58</v>
      </c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3"/>
    </row>
  </sheetData>
  <mergeCells count="103">
    <mergeCell ref="C57:G57"/>
    <mergeCell ref="C61:G61"/>
    <mergeCell ref="BO61:BR61"/>
    <mergeCell ref="C62:G62"/>
    <mergeCell ref="BO62:BR62"/>
    <mergeCell ref="H65:P65"/>
    <mergeCell ref="S65:AS65"/>
    <mergeCell ref="AW65:BN65"/>
    <mergeCell ref="B49:C49"/>
    <mergeCell ref="B50:C50"/>
    <mergeCell ref="B51:C51"/>
    <mergeCell ref="B52:C52"/>
    <mergeCell ref="B53:C53"/>
    <mergeCell ref="C56:G56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D13:E13"/>
    <mergeCell ref="B14:C14"/>
    <mergeCell ref="B15:C15"/>
    <mergeCell ref="B16:C16"/>
    <mergeCell ref="B17:C17"/>
    <mergeCell ref="B18:C18"/>
    <mergeCell ref="D12:E12"/>
    <mergeCell ref="O12:O13"/>
    <mergeCell ref="R12:R13"/>
    <mergeCell ref="T12:W12"/>
    <mergeCell ref="X12:AA12"/>
    <mergeCell ref="AB12:AE12"/>
    <mergeCell ref="AU11:AU13"/>
    <mergeCell ref="AV11:AV13"/>
    <mergeCell ref="AW11:BA11"/>
    <mergeCell ref="H11:H13"/>
    <mergeCell ref="N11:N13"/>
    <mergeCell ref="K11:K13"/>
    <mergeCell ref="L11:L13"/>
    <mergeCell ref="M11:M13"/>
    <mergeCell ref="BF12:BI12"/>
    <mergeCell ref="BJ12:BM12"/>
    <mergeCell ref="BQ11:BQ12"/>
    <mergeCell ref="Q8:R8"/>
    <mergeCell ref="BO8:BP8"/>
    <mergeCell ref="BS8:BT8"/>
    <mergeCell ref="I11:I13"/>
    <mergeCell ref="J11:J13"/>
    <mergeCell ref="BV11:BX12"/>
    <mergeCell ref="BB11:BN11"/>
    <mergeCell ref="BO11:BO13"/>
    <mergeCell ref="BP11:BP13"/>
    <mergeCell ref="BS10:BS13"/>
    <mergeCell ref="BT10:BT13"/>
    <mergeCell ref="BV10:BX10"/>
    <mergeCell ref="A10:A13"/>
    <mergeCell ref="B10:C13"/>
    <mergeCell ref="D10:G11"/>
    <mergeCell ref="H10:AV10"/>
    <mergeCell ref="AG12:AJ12"/>
    <mergeCell ref="AK12:AN12"/>
    <mergeCell ref="AO12:AR12"/>
    <mergeCell ref="BB12:BE12"/>
    <mergeCell ref="A1:BT1"/>
    <mergeCell ref="A2:BT2"/>
    <mergeCell ref="A3:BT3"/>
    <mergeCell ref="A4:BT4"/>
    <mergeCell ref="A5:BT5"/>
    <mergeCell ref="A6:BT6"/>
    <mergeCell ref="AW10:BQ10"/>
    <mergeCell ref="BR10:BR13"/>
    <mergeCell ref="O11:S11"/>
    <mergeCell ref="T11:AF11"/>
    <mergeCell ref="AG11:AS11"/>
    <mergeCell ref="AT11:AT13"/>
    <mergeCell ref="A7:B7"/>
    <mergeCell ref="BQ7:BR7"/>
    <mergeCell ref="BS7:BT7"/>
    <mergeCell ref="A8:B8"/>
  </mergeCells>
  <conditionalFormatting sqref="H14:N53">
    <cfRule type="containsText" dxfId="3" priority="1" operator="containsText" text="E">
      <formula>NOT(ISERROR(SEARCH("E",H14)))</formula>
    </cfRule>
    <cfRule type="containsText" dxfId="2" priority="2" operator="containsText" text="A">
      <formula>NOT(ISERROR(SEARCH("A",H14)))</formula>
    </cfRule>
    <cfRule type="containsText" dxfId="1" priority="3" operator="containsText" text="P">
      <formula>NOT(ISERROR(SEARCH("P",H14)))</formula>
    </cfRule>
  </conditionalFormatting>
  <conditionalFormatting sqref="BT14:BT53">
    <cfRule type="containsText" dxfId="0" priority="4" operator="containsText" text="FAILED">
      <formula>NOT(ISERROR(SEARCH("FAILED",BT14)))</formula>
    </cfRule>
  </conditionalFormatting>
  <pageMargins left="0.25" right="0.25" top="0.75" bottom="0.75" header="0.3" footer="0.3"/>
  <pageSetup paperSize="9" scale="27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Notes</vt:lpstr>
      <vt:lpstr>Transmutation Table</vt:lpstr>
      <vt:lpstr>with project</vt:lpstr>
      <vt:lpstr>without project</vt:lpstr>
      <vt:lpstr>'with project'!Print_Area</vt:lpstr>
      <vt:lpstr>'without project'!Print_Area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Paul Morato</dc:creator>
  <cp:lastModifiedBy>John Kirk Navarrete</cp:lastModifiedBy>
  <cp:lastPrinted>2025-09-10T09:06:00Z</cp:lastPrinted>
  <dcterms:created xsi:type="dcterms:W3CDTF">2025-01-24T06:00:00Z</dcterms:created>
  <dcterms:modified xsi:type="dcterms:W3CDTF">2026-03-10T07:42:12Z</dcterms:modified>
</cp:coreProperties>
</file>